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fourth CS\ملفات مشؤوع نزم معلومات\الملفات الجاهزه\4\"/>
    </mc:Choice>
  </mc:AlternateContent>
  <xr:revisionPtr revIDLastSave="0" documentId="13_ncr:1_{D79E8D7F-A958-44E4-8C88-8A56F882BF3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بيانات الإصدار والاعتماد" sheetId="2" r:id="rId1"/>
    <sheet name="بيان التطبيق (SoA)" sheetId="3" r:id="rId2"/>
    <sheet name="لوحة المؤشرات" sheetId="4" r:id="rId3"/>
  </sheets>
  <calcPr calcId="181029"/>
</workbook>
</file>

<file path=xl/calcChain.xml><?xml version="1.0" encoding="utf-8"?>
<calcChain xmlns="http://schemas.openxmlformats.org/spreadsheetml/2006/main">
  <c r="C11" i="4" l="1"/>
  <c r="E112" i="3"/>
  <c r="F10" i="4" s="1"/>
  <c r="D112" i="3"/>
  <c r="D10" i="4" s="1"/>
  <c r="E75" i="3"/>
  <c r="F9" i="4" s="1"/>
  <c r="D75" i="3"/>
  <c r="D9" i="4" s="1"/>
  <c r="E58" i="3"/>
  <c r="F8" i="4" s="1"/>
  <c r="D58" i="3"/>
  <c r="D8" i="4" s="1"/>
  <c r="E47" i="3"/>
  <c r="F7" i="4" s="1"/>
  <c r="D47" i="3"/>
  <c r="D7" i="4" s="1"/>
  <c r="E9" i="4" l="1"/>
  <c r="D37" i="4" s="1"/>
  <c r="C20" i="4"/>
  <c r="G9" i="4"/>
  <c r="C29" i="4" s="1"/>
  <c r="D20" i="4"/>
  <c r="C21" i="4"/>
  <c r="E8" i="4"/>
  <c r="C19" i="4"/>
  <c r="E10" i="4"/>
  <c r="G10" i="4"/>
  <c r="D19" i="4"/>
  <c r="C22" i="4"/>
  <c r="D11" i="4"/>
  <c r="E11" i="4" s="1"/>
  <c r="E7" i="4"/>
  <c r="D22" i="4"/>
  <c r="F11" i="4"/>
  <c r="G7" i="4"/>
  <c r="C37" i="4"/>
  <c r="G8" i="4"/>
  <c r="D21" i="4"/>
  <c r="D29" i="4" l="1"/>
  <c r="D38" i="4"/>
  <c r="D30" i="4"/>
  <c r="G11" i="4"/>
  <c r="D36" i="4"/>
  <c r="D28" i="4"/>
  <c r="C35" i="4"/>
  <c r="C27" i="4"/>
  <c r="C38" i="4"/>
  <c r="C30" i="4"/>
  <c r="C36" i="4"/>
  <c r="C28" i="4"/>
  <c r="D35" i="4"/>
  <c r="D27" i="4"/>
</calcChain>
</file>

<file path=xl/sharedStrings.xml><?xml version="1.0" encoding="utf-8"?>
<sst xmlns="http://schemas.openxmlformats.org/spreadsheetml/2006/main" count="538" uniqueCount="337">
  <si>
    <t>معلومات الوثيقة والاعتماد وضبط الجودة</t>
  </si>
  <si>
    <t>سري للاستخدام الداخلي (Confidential - Internal Banking Use)</t>
  </si>
  <si>
    <t>بيان التطبيق للضوابط الأمنية — بنك الآفاق الرقمية (Statement of Applicability)</t>
  </si>
  <si>
    <t>ISMS-FORM-06-2</t>
  </si>
  <si>
    <t>11 سبتمبر 2026 م</t>
  </si>
  <si>
    <t>د. نورة القحطاني (الرئيس التنفيذي) وأ. عبدالله المحيسن (رئيس مجلس الإدارة)</t>
  </si>
  <si>
    <t>أ. سارة الحربي — مدير أمن المعلومات (CISO)</t>
  </si>
  <si>
    <t>محمد العامري (قائد المشروع)، محمد الكشري، محمد شماخ، محمد الأصبحي</t>
  </si>
  <si>
    <t>ISO/IEC 27001:2022 Clause 6.1.3 (d) &amp; Annex A (93 Controls)</t>
  </si>
  <si>
    <t>إطار الأمن السيبراني للبنك المركزي السعودي (ساما) ونظام حماية البيانات الشخصية (سدايا)</t>
  </si>
  <si>
    <t>A.5 الضوابط التنظيمية (Organizational controls)</t>
  </si>
  <si>
    <t>A.5.1 سياسات أمن المعلومات</t>
  </si>
  <si>
    <t>نعم</t>
  </si>
  <si>
    <t>مطلب إلزامي في المواصفة وإطار ساما للأمن السيبراني لتوفير التوجيه الإداري.</t>
  </si>
  <si>
    <t>تم اعتماد ونشر السياسة العامة المظلية لأمن المعلومات (ISMS-DOC-05-4) و39 سياسة تخصصية فرعية بموافقة الرئيس التنفيذي ومجلس الإدارة.</t>
  </si>
  <si>
    <t>A.5.2 أدوار ومسؤوليات أمن المعلومات</t>
  </si>
  <si>
    <t>إلزامية تحديد المسؤوليات والمساءلة وتفادي تضارب الصلاحيات.</t>
  </si>
  <si>
    <t>تحديد هيكل واضح: CISO (أ. سارة الحربي) مستقلة عن IT (م. فهد العتيبي)، وتوزيع مهام الـ SOC، الاستجابة للحوادث، والحوكمة وتقييم المخاطر.</t>
  </si>
  <si>
    <t>A.5.3 الفصل بين الواجبات</t>
  </si>
  <si>
    <t>منع إساءة استخدام الصلاحيات، والحد من الأخطاء والاحتيال المالي الداخلي.</t>
  </si>
  <si>
    <t>فصل بيئات التطوير عن الإنتاج، فصل صلاحيات مديري قواعد البيانات عن العمليات المالية، وفرض اعتماد ثنائي للمدفوعات.</t>
  </si>
  <si>
    <t>A.5.4 مسؤوليات الإدارة</t>
  </si>
  <si>
    <t>إلزام القيادات بإنفاذ تعليمات الأمن السيبراني في كافة القطاعات.</t>
  </si>
  <si>
    <t>تضمين الالتزام الأمني في اتفاقيات الأداء السنوية لمديري الإدارات (KPIs)، والمشاركة الإلزامية في اجتماعات مراجعة الإدارة الدورية.</t>
  </si>
  <si>
    <t>A.5.5 الاتصال بالسلطات والجهات التنظيمية</t>
  </si>
  <si>
    <t>الامتثال للمتطلبات التنظيمية للبنك المركزي السعودي (ساما) والجهات الأمنية.</t>
  </si>
  <si>
    <t>تحديد قنوات اتصال رسمية مع ساما، سدايا، ومكافحة الجرائم المعلوماتية؛ وإلزامية الإبلاغ الفوري عن الحوادث السيبرانية الجسيمة خلال ساعتين.</t>
  </si>
  <si>
    <t>A.5.6 الاتصال بمجموعات الاهتمام المهنية</t>
  </si>
  <si>
    <t>متابعة مستجدات التهديدات السيبرانية وأفضل الممارسات المصرفية.</t>
  </si>
  <si>
    <t>الاشتراك في لجان الأمن السيبراني التابعة لساما، والمجلس المالي لمشاركة معلومات التهديدات (FS-ISAC) والمراكز الوطنية.</t>
  </si>
  <si>
    <t>A.5.7 معلومات التهديدات السيبرانية (Threat Intelligence)</t>
  </si>
  <si>
    <t>مطلب حيوي لمواجهة عصابات الجرائم المنظمة وهجمات الفدية المستهدفة للبنوك.</t>
  </si>
  <si>
    <t>تفعيل تغذية مؤشرات الاختراق (IoCs) وتكاملها مع جدران الحماية Palo Alto وحلول FortiWeb WAF، وتكليف فريق تقييم المخاطر بتحليلها.</t>
  </si>
  <si>
    <t>A.5.8 أمن المعلومات في إدارة المشاريع</t>
  </si>
  <si>
    <t>ضمان إدراج متطلبات الأمن السيبراني في كافة المشروعات التقنية والتطويرية.</t>
  </si>
  <si>
    <t>تطبيق مبدأ 'الأمان بالتصميم' في إدارة المشاريع ومراجعة أمان مشروع تطبيق 'آفاق بلس' ومشروع استبدال نظام الرواتب القديم.</t>
  </si>
  <si>
    <t>A.5.9 جرد الأصول والمعلومات المرتبطة بها</t>
  </si>
  <si>
    <t>تحديد وحماية كافة الأصول المادية والمعلوماتية والبرمجية التابعة للبنك.</t>
  </si>
  <si>
    <t>توثيق سجل جرد الأصول الشامل (Asset Register) الحاوي لـ 16 فئة أصول رئيسية مع تعيين مالك رسمي وتحديد الحرجية (CIA) لكل أصل.</t>
  </si>
  <si>
    <t>A.5.10 الاستخدام المقبول للمعلومات والأصول</t>
  </si>
  <si>
    <t>سد الفجوة التنظيمية ومنع استخدام مقدرات البنك لأغراض غير مصرح بها.</t>
  </si>
  <si>
    <t>تحديث سياسة الاستخدام المقبول (AUP)، حظر استخدام البريد البنكي لأغراض شخصية، تقييد التصفح، وتوقيع إقرار سنوي ملزم من كافة الموظفين.</t>
  </si>
  <si>
    <t>A.5.11 إعادة الأصول وممتلكات البنك</t>
  </si>
  <si>
    <t>منع تسريب بيانات البنك أو فقدان الأجهزة عند انتهاء الخدمة أو تغيير العمل.</t>
  </si>
  <si>
    <t>إجراءات إخلاء طرف مشددة تشمل استعادة الحواسيب المحمولة (HP)، الهواتف، والبطاقات الذكية فور استقالة أو إنهاء عقد أي موظف.</t>
  </si>
  <si>
    <t>A.5.12 تصنيف المعلومات والبيانات</t>
  </si>
  <si>
    <t>ضمان منح الحماية المناسبة لكل مستوى من البيانات المصرفية والعملاء.</t>
  </si>
  <si>
    <t>اعتماد نظام تصنيف رباعي: (سري للغاية، سري، داخلي، عام) وإلزامية تصنيف قواعد بيانات العملاء والمعاملات كـ 'سري للغاية'.</t>
  </si>
  <si>
    <t>A.5.13 وسم وتسمية المعلومات (Data Labelling)</t>
  </si>
  <si>
    <t>تسهيل التعرف على حساسية المستندات وضمان التعامل الآمن معها.</t>
  </si>
  <si>
    <t>تفعيل الوسم الآلي للوثائق في Office 365 / SharePoint، وإلزام الموظفين بوضع علامة مائية للمستندات السرية وسجلات الرواتب.</t>
  </si>
  <si>
    <t>A.5.14 نقل وتبادل المعلومات</t>
  </si>
  <si>
    <t>حماية البيانات المصرفية أثناء النقل بين الفروع والمراسلين الدوليين.</t>
  </si>
  <si>
    <t>تشفير كافة قنوات الاتصال والتحويلات المالية الدولية (SWIFT)، واستخدام بروتوكولات SFTP و TLS 1.3 لنقل البيانات الحساسة.</t>
  </si>
  <si>
    <t>A.5.15 التحكم في الوصول وإدارة الصلاحيات</t>
  </si>
  <si>
    <t>منع الوصول غير المصرح به لقواعد البيانات والمعاملات المالية.</t>
  </si>
  <si>
    <t>تطبيق مبدأ 'الحد الأدنى من الامتيازات (Least Privilege)' وتعديل سياسة التحكم في الوصول بعد حادثة وصول IT لملفات HR.</t>
  </si>
  <si>
    <t>A.5.16 إدارة الهويات (Identity Management)</t>
  </si>
  <si>
    <t>إدارة دورة حياة الحسابات الرقمية للموظفين والمتعاقدين مركزياً.</t>
  </si>
  <si>
    <t>إدارة مركزية عبر Microsoft Active Directory لـ 2,500 مستخدم مع ربطه بنظام الموارد البشرية لإنشاء وتعطيل الحسابات آلياً.</t>
  </si>
  <si>
    <t>A.5.17 معلومات المصادقة وبيانات الدخول</t>
  </si>
  <si>
    <t>حماية كلمات المرور والبيانات البيومترية من الاختراق والتخمين.</t>
  </si>
  <si>
    <t>فرض سياسة تعقيد كلمات المرور (12 خانة)، التغيير الدوري، حظر تكرار آخر 10 كلمات مرور، والتخزين بتجزئة مشفرة غير قابلة للعكس.</t>
  </si>
  <si>
    <t>A.5.18 حقوق الوصول المميزة (Privileged Access)</t>
  </si>
  <si>
    <t>حماية حسابات المسؤولين ومديري الأنظمة من الاستغلال الخبيث.</t>
  </si>
  <si>
    <t>إلغاء كلمات المرور المشتركة للمسؤولين، قصر الصلاحيات المميزة على مهام محددة، والتحضير لتطبيق نظام مركزي لـ PAM.</t>
  </si>
  <si>
    <t>A.5.19 أمن المعلومات في العلاقات مع الموردين</t>
  </si>
  <si>
    <t>إدارة مخاطر سلاسل التوريد والشركاء التقنيين (AWS، STC، مطورو التطبيقات).</t>
  </si>
  <si>
    <t>إجراء تقييم أمني شامل للموردين قبل التعاقد، وتصنيف مخاطر الموردين التقنيين وفحص الضوابط الأمنية المطبقة لديهم.</t>
  </si>
  <si>
    <t>A.5.20 معالجة أمن المعلومات في اتفاقيات الموردين</t>
  </si>
  <si>
    <t>إلزام الموردين قانونياً بالضوابط الأمنية وحق التدقيق والسرية.</t>
  </si>
  <si>
    <t>تضمين شروط جزائية، اتفاقيات عدم إفصاح (NDA)، شروط الامتثال لساما، وحق البنك في التدقيق الأمني في كافة عقود التقنية والموردين.</t>
  </si>
  <si>
    <t>A.5.21 إدارة الأمن في سلسلة توريد تقنية المعلومات</t>
  </si>
  <si>
    <t>ضمان خلو الأجهزة والبرمجيات الموردة من الثغرات أو البرمجيات الخبيثة.</t>
  </si>
  <si>
    <t>فحص التحديثات البرمجية ومصادر البرامج قبل اعتمادها في أجهزة الـ ATM أو منصات البنك، والتحقق من سلاسل توريد الأجهزة.</t>
  </si>
  <si>
    <t>A.5.22 مراقبة ومراجعة وتغيير خدمات الموردين</t>
  </si>
  <si>
    <t>متابعة التزام الموردين باتفاقيات مستوى الخدمة (SLA) ومراجعة أدائهم.</t>
  </si>
  <si>
    <t>مراجعة دورية لتقارير أداء شركة صيانة الصرافات، ومزود الإنترنت STC، وتدقيق التغييرات التقنية المنفذة من قِبلهم.</t>
  </si>
  <si>
    <t>A.5.23 أمن المعلومات لخدمات الحوسبة السحابية</t>
  </si>
  <si>
    <t>سد الفجوة المحددة بالملحق حيال التعاقد مع AWS دون تقييم مخاطر متكامل.</t>
  </si>
  <si>
    <t>اعتماد سياسة الحوسبة السحابية، تحديد نموذج المسؤولية المشتركة، حظر تخزين بيانات العملاء الإنتاجية بالسحابة، وتشفير بيئات الاختبار.</t>
  </si>
  <si>
    <t>A.5.24 التخطيط والتحضير لإدارة حوادث أمن المعلومات</t>
  </si>
  <si>
    <t>الاستعداد التام للتعامل السريع مع الهجمات والحد من آثارها السلبية.</t>
  </si>
  <si>
    <t>تشكيل فريق استجابة للحوادث (3 أخصائيين)، وتجهيز خطة الاستجابة (ISMS-DOC-05-26) وسيناريوهات التصيد والفدية وتوقف الخدمات.</t>
  </si>
  <si>
    <t>A.5.25 تقييم وقرارات بشأن الأحداث الأمنية</t>
  </si>
  <si>
    <t>فرز التنبيهات الأمنية والتمييز بين الأحداث الاعتيادية والحوادث الفعلية.</t>
  </si>
  <si>
    <t>تصنيف الحوادث إلى 4 مستويات خطورة (منخفض، متوسط، عالي، حرج) وتحديد مسارات التصعيد للإدارة التنفيذية وCISO.</t>
  </si>
  <si>
    <t>A.5.26 الاستجابة لحوادث أمن المعلومات</t>
  </si>
  <si>
    <t>احتواء الحوادث فوراً ومعالجة الأضرار واستعادة التشغيل الآمن.</t>
  </si>
  <si>
    <t>تطبيق إجراءات العزل الشبكي الفوري، تعطيل الحسابات المخترقة، والتنسيق المباشر بين الـ SOC والشبكات وإدارة الاحتيال.</t>
  </si>
  <si>
    <t>A.5.27 التعلم واستخلاص الدروس من الحوادث</t>
  </si>
  <si>
    <t>معالجة الفجوة السابقة لعدم توثيق الدروس المستفادة من الحوادث التشغيلية.</t>
  </si>
  <si>
    <t>إلزامية عقد اجتماع مراجعة ما بعد الحادث (Post-Incident Review)، وتحديث الضوابط والسياسات بناءً على النتائج لمنع التكرار.</t>
  </si>
  <si>
    <t>A.5.28 جمع الأدلة الرقمية والتحري الجنائي</t>
  </si>
  <si>
    <t>حفظ السجلات والأدلة الرقمية بما يضمن حجيتها القانونية أمام الجهات القضائية.</t>
  </si>
  <si>
    <t>توثيق سلسلة الحيازة (Chain of Custody)، أخذ نسخ جنائية (Forensic Images) للأجهزة المتأثرة دون تغيير محتواها الأصلي.</t>
  </si>
  <si>
    <t>A.5.29 أمن المعلومات أثناء الأزمات والانقطاع</t>
  </si>
  <si>
    <t>الحفاظ على الضوابط الأمنية حتى في أوقات الطوارئ والكوارث.</t>
  </si>
  <si>
    <t>ضمان بقاء جدران الحماية، والتحكم بالدخول، والتشفير مفعلة أثناء تشغيل بيئات الطوارئ في مركز التعافي من الكوارث بجدة.</t>
  </si>
  <si>
    <t>A.5.30 جاهزية تقنية المعلومات لاستمرارية الأعمال</t>
  </si>
  <si>
    <t>تفادي تكرار انقطاع الخدمات المصرفية وضمان الاسترداد السريع.</t>
  </si>
  <si>
    <t>اعتماد خطة استمرارية الأعمال (BCP/DRP) مع تحديد RTO أقل من 30 دقيقة و RPO يقارب الصفر، واختبار تشغيل موقع جدة مرتين سنوياً.</t>
  </si>
  <si>
    <t>A.5.31 المتطلبات القانونية والتشريعية والتعاقدية</t>
  </si>
  <si>
    <t>ضمان الامتثال التام للأنظمة المعمول بها وتجنب العقوبات الرقابية.</t>
  </si>
  <si>
    <t>حصر وتحديث سجل الالتزام التشريعي (ساما، سدايا، نظام مكافحة الجرائم المعلوماتية، واتفاقيات الدفع الدولية) بمراجعة الإدارة القانونية.</t>
  </si>
  <si>
    <t>A.5.32 حقوق الملكية الفكرية وتراخيص البرمجيات</t>
  </si>
  <si>
    <t>سد الفجوة المحددة بالملحق بشأن غياب سياسة الملكية الفكرية ومكتبات المصدر المفتوح.</t>
  </si>
  <si>
    <t>اعتماد سياسة حماية الملكية الفكرية للكود المصدري في GitLab، منع استخدام مكتبات مفتوحة المصدر دون فحص أمني، وتدقيق التراخيص.</t>
  </si>
  <si>
    <t>A.5.33 حماية السجلات المصرفية والمؤسسية</t>
  </si>
  <si>
    <t>حماية السجلات المالية والتقنية من التلف والتزوير والتغيير غير المصرح.</t>
  </si>
  <si>
    <t>تخزين السجلات في وسائط مشفرة بتقنية WORM (Write Once Read Many)، والالتزام بمدد الحفظ النظامية المحددة من البنك المركزي.</t>
  </si>
  <si>
    <t>A.5.34 الخصوصية وحماية بيانات التعريف الشخصية (PII)</t>
  </si>
  <si>
    <t>سد الفجوة في تطبيق نظام حماية البيانات الشخصية لـ 500,000 عميل وموظفي البنك.</t>
  </si>
  <si>
    <t>أتمتة طلبات أصحاب البيانات (الاطلاع، التصحيح، الحذف)، إجراء تقييم أثر حماية البيانات (DPIA) لتطبيق 'آفاق بلس'، وتعيين مسؤول حماية البيانات.</t>
  </si>
  <si>
    <t>A.5.35 المراجعة المستقلة لأمن المعلومات</t>
  </si>
  <si>
    <t>سد الفجوة التنظيمية بالملحق بشأن غياب التدقيق المتخصص المستقل لأمن المعلومات.</t>
  </si>
  <si>
    <t>جدولة مراجعة داخلية مستقلة شاملة من إدارة المراجعة الداخلية، والتعاقد مع جهة تدقيق خارجية معتمدة لمنح شهادة ISO 27001 سنوياً.</t>
  </si>
  <si>
    <t>A.5.36 الامتثال للسياسات والمعايير الأمنية الداخلية</t>
  </si>
  <si>
    <t>التحقق المنتظم من مطابقة الأنظمة والفرق الفنية للسياسات المعتمدة.</t>
  </si>
  <si>
    <t>تطبيق برنامج مراجعات ربع سنوي منهجي يقوده فريق الحوكمة وإدارة المخاطر، وإعداد تقارير عدم المطابقة وتصعيدها للجنة التنفيذية.</t>
  </si>
  <si>
    <t>A.5.37 توثيق إجراءات التشغيل (SOPs)</t>
  </si>
  <si>
    <t>توحيد العمليات التشغيلية وتفادي الأخطاء البشرية الفردية لمهندسي التقنية.</t>
  </si>
  <si>
    <t>إصدار وتوثيق 4 أدلة تشغيلية قياسية: النسخ الاحتياطي، إدارة التشفير، إدارة التحديثات والترقيع، وإدارة الثغرات، ومراجعتها سنوياً.</t>
  </si>
  <si>
    <t>المجموع (Totals):</t>
  </si>
  <si>
    <t>A.6 ضوابط الأفراد (People controls)</t>
  </si>
  <si>
    <t>A.6.1 الفحص الأمني للموظفين (Screening)</t>
  </si>
  <si>
    <t>التحقق من نزاهة وأهلية الموظفين قبل تعيينهم في بيئة مصرفية حساسة.</t>
  </si>
  <si>
    <t>إجراء مسح أمني شامل وفحص السجلات الجنائية والتحقق من المؤهلات والخبرات السابقة لكافة المرشحين بالتعاون مع الموارد البشرية.</t>
  </si>
  <si>
    <t>A.6.2 شروط وأحكام التوظيف</t>
  </si>
  <si>
    <t>إلزام الموظفين تعاقدياً بمسؤولياتهم تجاه أمن المعلومات وسياسات البنك.</t>
  </si>
  <si>
    <t>تضمين شروط أمن المعلومات واتفاقيات السرية والتبعات القانونية للمخالفات في صلب عقود العمل لجميع الموظفين والمتعاقدين.</t>
  </si>
  <si>
    <t>A.6.3 التوعية والتدريب والتعليم في أمن المعلومات</t>
  </si>
  <si>
    <t>معالجة نتائج محاكاة التصيد السابقة (نقوع 25% من الموظفين ونقر 40% بالتسويق).</t>
  </si>
  <si>
    <t>إطلاق حملات توعوية شهرية متعددة اللغات، محاكاة دورية للتصيد المالي، وتدريب متخصص لموظفي المالية والتسويق لخفض النقر لأقل من 3%.</t>
  </si>
  <si>
    <t>A.6.4 الإجراءات التأديبية والمساءلة</t>
  </si>
  <si>
    <t>الردع والمساءلة الإدارية عن أي إهمال أو انتهاك متعمد للسياسات الأمنية.</t>
  </si>
  <si>
    <t>اعتماد لائحة جزاءات واضحة ومتدرجة (إنذار، خصم، فصل، ملاحقة قضائية) تطبق بشفافية بالتعاون مع الموارد البشرية والشؤون القانونية.</t>
  </si>
  <si>
    <t>A.6.5 المسؤوليات بعد إنهاء الخدمة أو تغيير العمل</t>
  </si>
  <si>
    <t>السيطرة على المخاطر الناجمة عن دوران الموظفين بنسبة 12% في IT.</t>
  </si>
  <si>
    <t>توقيع إقرار استمرار الالتزام بالسرية المصرفية بعد الاستقالة، والتعطيل الفوري والشامل لكافة الحسابات والصلاحيات في نفس يوم العمل الأخير.</t>
  </si>
  <si>
    <t>A.6.6 اتفاقيات السرية وعدم الإفصاح (NDA)</t>
  </si>
  <si>
    <t>حماية أسرار البنك، بيانات العملاء، والكود المصدري من النشر غير المصرح.</t>
  </si>
  <si>
    <t>توقيع اتفاقيات عدم إفصاح ملزمة وقابلة للإنفاذ القانوني مع كافة الموظفين، المطورين، والاستشاريين والشركات الخارجية.</t>
  </si>
  <si>
    <t>A.6.7 العمل عن بُعد (Remote Working)</t>
  </si>
  <si>
    <t>تأمين الوصول عن بعد للموظفين المتنقلين والإدارات المصرح لها.</t>
  </si>
  <si>
    <t>فرض الاتصال عبر شبكة افتراضية خاصة مشفرة (Cisco AnyConnect VPN)، مصادقة ثنائية (RSA SecurID)، وتطبيق تشفير الأقراص على أجهزة العمل.</t>
  </si>
  <si>
    <t>A.6.8 الإبلاغ عن الأحداث والشبهات الأمنية</t>
  </si>
  <si>
    <t>رفع معدل إبلاغ الموظفين عن التهديدات من 8% إلى أكثر من 75%.</t>
  </si>
  <si>
    <t>إضافة زر إبلاغ مباشر (Report Phishing) في Outlook، توفير خط ساخن مع الـ SOC، وإقرار سياسة عدم معاقبة المبلّغين بحسن نية.</t>
  </si>
  <si>
    <t>A.7 الضوابط المادية (Physical controls)</t>
  </si>
  <si>
    <t>A.7.1 المحيط الأمني الفيزيائي (Physical Perimeters)</t>
  </si>
  <si>
    <t>حماية المباني والمراكز الحساسة من الدخول والتسلل الفيزيائي غير المصرح.</t>
  </si>
  <si>
    <t>حواجز أمنية وبوابات تفتيش بالمقر الرئيسي (الرياض)، أسوار أمنية لمركز التعافي بجدة، وتأمين محيط الفروع وأماكن الصرافات.</t>
  </si>
  <si>
    <t>A.7.2 التحكم في الدخول الفيزيائي</t>
  </si>
  <si>
    <t>قصر الدخول لمراكز البيانات والمناطق الحساسة على المخولين حصراً.</t>
  </si>
  <si>
    <t>نظام مصادقة بيومترية (بصمة إصبع) وبطاقات ذكية للدخول لمركز البيانات (الطابق 3) وغرف الخوادم بالفروع مع حفظ سجلات الدخول آلياً.</t>
  </si>
  <si>
    <t>A.7.3 تأمين المكاتب والغرف والمرافق</t>
  </si>
  <si>
    <t>منع الوصول غير المصرح إلى المكاتب التنفيذية وغرف العمليات المصرفية.</t>
  </si>
  <si>
    <t>أقفال إلكترونية، مناطق استقبال معزولة للزوار، وتحديد مستويات وصول فيزيائية منفصلة لكل طابق في مبنى الإدارة العامة.</t>
  </si>
  <si>
    <t>A.7.4 المراقبة الأمنية الفيزيائية (CCTV)</t>
  </si>
  <si>
    <t>الرصد اللحظي للأحداث الفيزيائية والتحقيق في الحوادث الأمنية.</t>
  </si>
  <si>
    <t>تغطية شاملة بنظام كاميرات مراقبة رقمية عالية الدقة (CCTV) على مدار الساعة لكافة المداخل والممرات ومركز البيانات والصرافات الآلية.</t>
  </si>
  <si>
    <t>A.7.5 الحماية من التهديدات المادية والبيئية</t>
  </si>
  <si>
    <t>حماية البنية التحتية من الحرائق، الفيضانات، وتغيرات درجات الحرارة والرطوبة.</t>
  </si>
  <si>
    <t>أنظمة إطفاء غازي تلقائي (FM200)، أجهزة استشعار تسرب المياه، وأنظمة تكييف دقيق (Precision Cooling) في مراكز البيانات.</t>
  </si>
  <si>
    <t>A.7.6 العمل في المناطق الآمنة</t>
  </si>
  <si>
    <t>منع تصوير أو تسريب المعلومات الحساسة من داخل غرف الخوادم والـ SOC.</t>
  </si>
  <si>
    <t>حظر اصطحاب الهواتف الشخصية وكاميرات التصوير داخل مركز العمليات الأمنية (الطابق 4) وغرفة خوادم مركز البيانات، وتوثيق سجل المرافقين.</t>
  </si>
  <si>
    <t>A.7.7 سياسة المكتب النظيف والشاشة النقية</t>
  </si>
  <si>
    <t>منع الاطلاع غير المصرح على الشاشات والمستندات المصرفية المتروكة.</t>
  </si>
  <si>
    <t>قفل شاشات الحاسوب آلياً بعد 3 دقائق خمول، إلزامية إخلاء المكاتب من الشيكات وكشوفات الحسابات، وتوفير آلات تمزيق مستندات متطورة.</t>
  </si>
  <si>
    <t>A.7.8 وضع وحماية المعدات والأجهزة</t>
  </si>
  <si>
    <t>حماية الخوادم وأجهزة الشبكة من التلف الفيزيائي والوصول غير المصرح.</t>
  </si>
  <si>
    <t>تثبيت الخوادم وأجهزة Cisco ASR في كبائن شبكية مقفلة داخل غرف مكيفة ومؤمنة ميكانيكياً في المقر والفروع.</t>
  </si>
  <si>
    <t>A.7.9 أمن الأصول خارج مقار البنك</t>
  </si>
  <si>
    <t>تلافي تكرار حادثة فقدان لابتوب مدير التسويق أثناء السفر خارج المملكة.</t>
  </si>
  <si>
    <t>فرض التشفير الكامل للأقراص، تقييد صلاحيات نسخ البيانات على وسائط خارجية، وإلزام الموظفين بحفظ الأجهزة في أماكن آمنة أثناء السفر.</t>
  </si>
  <si>
    <t>A.7.10 وسائط التخزين (Storage Media)</t>
  </si>
  <si>
    <t>منع سرقة وسائط التخزين أو تسريب البيانات المخزنة عليها.</t>
  </si>
  <si>
    <t>حفظ أشرطة النسخ الاحتياطي في خزائن مضادة للحريق، تشفير وسائط التخزين، وحظر منافذ USB على حواسيب الموظفين عبر برامج الحماية.</t>
  </si>
  <si>
    <t>A.7.11 المرافق الداعمة والخدمات الأساسية</t>
  </si>
  <si>
    <t>ضمان استمرار إمدادات الطاقة وتفادي انقطاع الأنظمة المصرفية.</t>
  </si>
  <si>
    <t>توفير وحدات طاقة غير منقطعة (UPS) مزدوجة ومولدات كهرباء ديزل احتياطية تعمل تلقائياً في المقر، مركز جدة، وكافة الفروع.</t>
  </si>
  <si>
    <t>A.7.12 أمن كابلات الشبكة والطاقة</t>
  </si>
  <si>
    <t>حماية كابلات نقل البيانات من التنصت، التلف الميكانيكي، أو القطع.</t>
  </si>
  <si>
    <t>تمديد كابلات الشبكة في مسارات وأنابيب معدنية محمية (Conduits) تحت الأرضيات المرفوعة، مع الفصل التام بين مسارات الطاقة والبيانات.</t>
  </si>
  <si>
    <t>A.7.13 صيانة المعدات والأجهزة</t>
  </si>
  <si>
    <t>الحفاظ على كفاءة الأجهزة والتأكد من موثوقية جهات الصيانة الخارجية.</t>
  </si>
  <si>
    <t>عقود صيانة دورية معتمدة مع شركات مصنعة (HP, Dell, Cisco)، مع اشتراط مرافقة الفنيين ومسح البيانات قبل إخراج أي جهاز للصيانة.</t>
  </si>
  <si>
    <t>A.7.14 التخلص الآمن من المعدات أو إعادة استخدامها</t>
  </si>
  <si>
    <t>منع استرجاع البيانات البنكية القديمة من الأجهزة المباعة أو المتلفة.</t>
  </si>
  <si>
    <t>إجراء المسح الآمن (Degaussing / Sanitization) أو التدمير الفيزيائي للأقراص التالفة وشهادة إتلاف معتمدة وفق المعايير المصرفية.</t>
  </si>
  <si>
    <t>A.8 الضوابط التقنية (Technological controls)</t>
  </si>
  <si>
    <t>A.8.1 أجهزة المستخدم الطرفية (User Endpoints)</t>
  </si>
  <si>
    <t>حماية وتأمين 2,000 حاسوب محمول و500 جهاز مكتبي وهواتف البنك الذكية.</t>
  </si>
  <si>
    <t>تفعيل التشفير الشامل للأقراص (BitLocker) بنسبة 100%، تحديث برامج مكافحة الفيروسات مركزياً، ومنع تثبيت البرامج دون إذن IT.</t>
  </si>
  <si>
    <t>A.8.2 حقوق الوصول المميزة (Privileged Access)</t>
  </si>
  <si>
    <t>سد ثغرة الاستخدام اليدوي والمشترك لكلمات مرور مسؤولي الأنظمة.</t>
  </si>
  <si>
    <t>تقييد الحسابات الإدارية، إلزامية استخدام المصادقة متعددة العوامل (MFA)، وتسجيل كافة العمليات المنفذة من قِبل مديري الخوادم والشبكات.</t>
  </si>
  <si>
    <t>A.8.3 تقييد الوصول للمعلومات الحساسة</t>
  </si>
  <si>
    <t>معالجة ثغرة وصول موظفي IT غير المصرح لمجلدات رواتب وتقييمات HR.</t>
  </si>
  <si>
    <t>إعادة هيكلة صلاحيات الوصول المشتركة (File Shares)، وتطبيق مبدأ الحاجة إلى المعرفة (Need-to-Know) وحظر وصول IT لملفات HR نهائياً.</t>
  </si>
  <si>
    <t>A.8.4 الوصول إلى الكود المصدري للبرمجيات</t>
  </si>
  <si>
    <t>حماية الكود المصدري لتطبيق 'آفاق بلس' والمنصات الداخلية من السرقة أو التعديل.</t>
  </si>
  <si>
    <t>استضافة الكود في منصة داخلية محصنة (GitLab Enterprise)، تقييد صلاحيات الدمج (Merge)، وتفعيل المصادقة الثنائية للمطورين.</t>
  </si>
  <si>
    <t>A.8.5 A.8.5</t>
  </si>
  <si>
    <t>مطلب إلزامي في مواصفة ISO 27001 وإطار الأمن السيبراني لساما.</t>
  </si>
  <si>
    <t>مطبق بالكامل ومفعل وموثق في إجراءات وسياسات بنك الآفاق الرقمية.</t>
  </si>
  <si>
    <t>A.8.6 إدارة السعة والقدرة الاستيعابية (Capacity)</t>
  </si>
  <si>
    <t>ضمان كفاءة الأنظمة وقت الذروة (مثل فترات صرف الرواتب الشهرية).</t>
  </si>
  <si>
    <t>مراقبة سعة المعالجات، الذاكرة، والتخزين (SAN 200TB)، والتوسع الاستباقي لمنع بطء أو توقف المعاملات المصرفية للعملاء.</t>
  </si>
  <si>
    <t>A.8.7 الحماية من البرمجيات الخبيثة (Malware Protection)</t>
  </si>
  <si>
    <t>التصدي لهجمات الفدية والفيروسات وبرمجيات التجسس المتطورة.</t>
  </si>
  <si>
    <t>نشر حلول الحماية المتقدمة Trend Micro على كافة الخوادم ومحطات العمل، وتحديث بصمات الفيروسات آلياً عدة مرات يومياً.</t>
  </si>
  <si>
    <t>A.8.8 إدارة الثغرات الفنية والتقنية</t>
  </si>
  <si>
    <t>معالجة نتائج الفحص الأخير (3 ثغرات عالية الخطورة بآفاق بلس وثغرات الشبكة).</t>
  </si>
  <si>
    <t>استخدام منصة Qualys للفحص الربع سنوي، وإلزامية سد الثغرات الحرجة والعالية خلال 14 يوماً وتتبعها عبر Jira Service Management.</t>
  </si>
  <si>
    <t>A.8.9 إدارة التهيئة والتحصين الأمني (Configuration)</t>
  </si>
  <si>
    <t>منع الأخطاء في إعدادات الشبكات والخوادم وتوحيد معايير الأمان.</t>
  </si>
  <si>
    <t>اعتماد وثائق التهيئة القياسية (CIS Benchmarks) لخوادم VMware وقواعد Oracle وأجهزة Palo Alto، ومنع استخدام الإعدادات الافتراضية.</t>
  </si>
  <si>
    <t>A.8.10 الحذف والإتلاف الآمن للمعلومات</t>
  </si>
  <si>
    <t>سد الفجوة المحددة بالملحق حيال غياب آلية تقنية لحذف البيانات عند انتهاء الغرض.</t>
  </si>
  <si>
    <t>تطبيق أدوات الحذف الآمن الدائم من قواعد البيانات، وضمان إتلاف النسخ الاحتياطية بعد انتهاء فترة الاحتفاظ القانونية وسحبها من AWS.</t>
  </si>
  <si>
    <t>A.8.11 إخفاء البيانات وتعميتها (Data Masking)</t>
  </si>
  <si>
    <t>معالجة فجوة استخدام بيانات حقيقية للعملاء في بيئات الاختبار والتطوير.</t>
  </si>
  <si>
    <t>تطبيق تقنيات التمويه والتعتيم (Masking/Anonymization) لإخفاء أرقام البطاقات والهويات في بيئات الاختبار والشاشات المصرفية.</t>
  </si>
  <si>
    <t>A.8.12 منع تسرب البيانات (Data Leakage Prevention - DLP)</t>
  </si>
  <si>
    <t>حماية بيانات 500 ألف عميل من الخروج خارج أسوار البنك الرقمية.</t>
  </si>
  <si>
    <t>تفعيل سياسات منع تسرب البيانات على بوابات البريد الإلكتروني ونقاط النهاية لمنع إرسال أرقام الحسابات أو بطاقات الائتمان للخارج.</t>
  </si>
  <si>
    <t>A.8.13 النسخ الاحتياطي للبيانات والأنظمة</t>
  </si>
  <si>
    <t>ضمان استرداد البيانات المصرفية في حال الكوارث أو هجمات الفدية.</t>
  </si>
  <si>
    <t>نسخ احتياطي يومي مشفر عبر Veritas NetBackup مع حفظ نسخة متماثلة في مركز التعافي بجدة، وتجربة استعادة البيانات دورياً.</t>
  </si>
  <si>
    <t>A.8.14 وفرة وتكرار مرافق المعالجة (Redundancy)</t>
  </si>
  <si>
    <t>تفادي توقف البنك نتيجة عطل خادم أو جدار حماية منفرد.</t>
  </si>
  <si>
    <t>تكوين عالي التوفر (High Availability Clusters) لجدران الحماية Palo Alto، وخوادم قواعد بيانات Oracle، ومسارات شبكة مزدوجة.</t>
  </si>
  <si>
    <t>A.8.15 تسجيل الأحداث والسجلات (Logging)</t>
  </si>
  <si>
    <t>تسجيل كافة العمليات التقنية والمصرفية لأغراض التحقيق والرقابة.</t>
  </si>
  <si>
    <t>جمع السجلات مركزياً عبر Syslog من الخوادم وجدران الحماية وحمايتها من التعديل، والاحتفاظ بها للمدة النظامية المعتمدة من ساما.</t>
  </si>
  <si>
    <t>A.8.16 أنشطة المراقبة والتحليل الأمني اللحظي</t>
  </si>
  <si>
    <t>سد ثغرة انتهاء شهادة SSL التي دامت 4 ساعات دون انتباه.</t>
  </si>
  <si>
    <t>أتمتة مراقبة تاريخ انتهاء شهادات SSL والتنبيه المبكر قبل 30 يوماً، ومراقبة أداء الشبكة واستجابة التطبيقات عبر مركز الـ SOC 24/7.</t>
  </si>
  <si>
    <t>A.8.17 مزامنة الساعة والتوقيت الموحد (NTP)</t>
  </si>
  <si>
    <t>معالجة الفجوة الجنائية الموثقة بوجود فارق 7 دقائق بين سجلات الأنظمة.</t>
  </si>
  <si>
    <t>نشر خادم توقيت مركزي موثوق (NTP) ومزامنة كافة أجهزة الشبكة، الخوادم، وجدران الحماية لضمان دقة توقيت السجلات والأدلة الجنائية.</t>
  </si>
  <si>
    <t>A.8.18 استخدام برامج الأدوات المساعدة المميزة</t>
  </si>
  <si>
    <t>منع استخدام أدوات الفحص والتنصت (مثل Wireshark) دون إذن رسمي مسبق.</t>
  </si>
  <si>
    <t>حظر تثبيت أو تشغيل أدوات تحليل الشبكات والـ Utilities المميزة على الأجهزة الطرفية، وقصرها على مهندسي الأمن والشبكات المصرح لهم.</t>
  </si>
  <si>
    <t>A.8.19 تثبيت البرامج على الأنظمة التشغيلية</t>
  </si>
  <si>
    <t>منع تثبيت البرمجيات غير المصرح بها أو البرامج المقرصنة.</t>
  </si>
  <si>
    <t>سحب صلاحيات التثبيت المحلي من الموظفين، وتطبيق القائمة البيضاء للبرامج المعتمدة (Application Whitelisting) عبر Group Policy.</t>
  </si>
  <si>
    <t>A.8.20 أمن الشبكات الداخلية والخارجية</t>
  </si>
  <si>
    <t>حماية محيط البنك وتأمين مسارات تدفق البيانات المصرفية.</t>
  </si>
  <si>
    <t>نشر جدران الحماية Palo Alto الجيل الجديد، تفعيل أنظمة منع التسلل (IPS)، وحماية الروابط الممتدة لـ 25 فرعاً وموقع التعافي بجدة.</t>
  </si>
  <si>
    <t>A.8.21 أمن خدمات الشبكة والشهادات الرقمية</t>
  </si>
  <si>
    <t>سد الفجوة المحددة بالملحق حيال تفعيل بروتوكولات قديمة (TLS 1.0/1.1).</t>
  </si>
  <si>
    <t>إيقاف بروتوكولات التشفير القديمة وحصر التعامل بـ TLS 1.2 و TLS 1.3، وتدقيق إعدادات خدمات DNS و DHCP بشكل ربع سنوي.</t>
  </si>
  <si>
    <t>A.8.22 فصل وعزل مكونات الشبكة (Segregation)</t>
  </si>
  <si>
    <t>منع الانتشار الجانبي للهجمات وحماية الخوادم المصرفية الحساسة.</t>
  </si>
  <si>
    <t>عزل شبكة الخوادم (DMZ) عن الشبكة الداخلية للموظفين، وعزل شبكة الفروع، وفصل شبكة أجهزة الصراف الآلي (ATMs) في شبكة افتراضية معزولة.</t>
  </si>
  <si>
    <t>A.8.23 تصفية محتوى الويب (Web Filtering)</t>
  </si>
  <si>
    <t>منع الموظفين من الوصول للمواقع الخبيثة أو مواقع التصيد والمواقع غير اللائقة.</t>
  </si>
  <si>
    <t>تفعيل ميزات Web Filtering على جدران الحماية وبوابات الإنترنت لحظر المواقع المصنفة خطرة أو غير ملائمة ومواقع البريد الشخصي.</t>
  </si>
  <si>
    <t>A.8.24 استخدام التشفير والتعمية (Cryptography)</t>
  </si>
  <si>
    <t>ضمان سرية البيانات الحساسة أثناء التخزين والنقل وتفادي حوادث تسريب البيانات.</t>
  </si>
  <si>
    <t>تشفير قواعد بيانات العملاء (Oracle TDE)، تشفير أقراص الحواسيب المحمولة (BitLocker)، واستخدام خوارزمية AES-256 القياسية.</t>
  </si>
  <si>
    <t>A.8.25 دورة حياة التطوير الآمن (Secure SDLC)</t>
  </si>
  <si>
    <t>منع الثغرات البرمجية في تطبيق 'آفاق بلس' ومنصة 'آفاق نت' منذ مرحلة التصميم.</t>
  </si>
  <si>
    <t>دمج متطلبات الأمان في مراحل التحليل والتصميم والتطوير، وإلزام فريق التطوير (25 مطوراً) باتباع معايير الأمان البرمجي المصرفي.</t>
  </si>
  <si>
    <t>A.8.26 متطلبات أمن التطبيقات البرمجية</t>
  </si>
  <si>
    <t>تحديد الضوابط الأمنية اللازمة لكل تطبيق مصرفي قبل برمجته.</t>
  </si>
  <si>
    <t>توثيق متطلبات التحقق من المدخلات، التشفير، المصادقة الثنائية، ومكافحة الاحتيال في وثائق المواصفات الفنية لجميع التطبيقات.</t>
  </si>
  <si>
    <t>A.8.27 معمارية الأنظمة الآمنة ومبادئ الهندسة</t>
  </si>
  <si>
    <t>بناء بنية تقنية قادرة على الصمود ومقاومة الاختراق.</t>
  </si>
  <si>
    <t>تطبيق مبادئ الدفاع في العمق (Defense-in-Depth)، والتقليل من سطح الهجوم المعرض للإنترنت في كافة الخوادم والخدمات المصرفية.</t>
  </si>
  <si>
    <t>A.8.28 البرمجة الآمنة (Secure Coding)</t>
  </si>
  <si>
    <t>معالجة ثغرات حقن أوامر SQL المكتشفة في فحص تطبيق 'آفاق بلس'.</t>
  </si>
  <si>
    <t>تدريب المطورين على معايير OWASP Top 10، واستخدام الاستعلامات المعلمية (Parameterized Queries) والتحقق الإلزامي من كافة المدخلات.</t>
  </si>
  <si>
    <t>A.8.29 اختبارات الأمان في التطوير والقبول</t>
  </si>
  <si>
    <t>التحقق من خلو التطبيقات من الثغرات قبل إطلاقها للمستخدمين والعملاء.</t>
  </si>
  <si>
    <t>إجراء فحص أمني آلي للكود (SAST) في مستودعات GitLab، وفحص ديناميكي (DAST)، واختبار اختراق قبل ترقية أي إصدار للإنتاج.</t>
  </si>
  <si>
    <t>A.8.30 التطوير بالاستعانة بمصادر خارجية</t>
  </si>
  <si>
    <t>ضبط أمن التطبيقات المطورة بالشراكة مع شركة تطوير تطبيقات الجوال الخارجية.</t>
  </si>
  <si>
    <t>اشتراط تسليم الكود المصدري كاملاً، إخضاعه لاختبار اختراق مستقل، وعدم منح الشركة الخارجية صلاحيات وصول مباشر لبيئة الإنتاج.</t>
  </si>
  <si>
    <t>A.8.31 فصل بيئات التطوير والاختبار والتشغيل</t>
  </si>
  <si>
    <t>منع التغييرات غير المصرح بها على بيئة الإنتاج وحماية الأنظمة الحية.</t>
  </si>
  <si>
    <t>فصل شبكي ومنطقي تام بين بيئة التطوير وبيئة الاختبار (على AWS) وبيئة الإنتاج (في مركز البيانات الرئيسي)، بحسابات وصول منفصلة.</t>
  </si>
  <si>
    <t>A.8.32 إدارة التغييرات التقنية (Change Management)</t>
  </si>
  <si>
    <t>معالجة السبب الجذري لحادثة انقطاع الخدمات لـ 3 ساعات بسبب خطأ مهندس الشبكات.</t>
  </si>
  <si>
    <t>فرض مبدأ الرقابة الثنائية (Four-Eyes Principle) على تغييرات جدران الحماية والأنظمة، إعداد خطط تراجع ملزمة، وموافقة لجنة التغيير CAB.</t>
  </si>
  <si>
    <t>A.8.33 معلومات وبيانات الاختبار (Test Information)</t>
  </si>
  <si>
    <t>سد فجوة استخدام بيانات عملاء حقيقية في بيئات الاختبار والتطوير.</t>
  </si>
  <si>
    <t>حظر استخدام بيانات العملاء الحقيقية في الاختبار نهائياً، واستخدام أدوات توليد بيانات اختبار اصطناعية أو بيانات مموهة ومجهولة الهوية.</t>
  </si>
  <si>
    <t>A.8.34 حماية نظم المعلومات أثناء اختبارات التدقيق</t>
  </si>
  <si>
    <t>منع توقف الخدمات المصرفية أثناء تنفيذ الفحوصات الأمنية أو اختبارات الاختراق.</t>
  </si>
  <si>
    <t>جدولة اختبارات الاختراق وفحص الثغرات في أوقات خارج الذروة، والتنسيق المسبق مع إدارة العمليات والـ SOC لمراقبة استقرار الأنظمة.</t>
  </si>
  <si>
    <t>لوحة مؤشرات وملخص بيان التطبيق — بنك الآفاق الرقمية (SoA Dashboard)</t>
  </si>
  <si>
    <t>نتائج ومؤشرات الامتثال لبيان التطبيق (Statement of Applicability Results)</t>
  </si>
  <si>
    <t>مجال الضوابط في المواصفة
AREA OF STANDARD</t>
  </si>
  <si>
    <t>إجمالي عدد الضوابط
NO OF CONTROLS</t>
  </si>
  <si>
    <t>الضوابط الخاضعة للتطبيق
APPLICABLE CONTROLS</t>
  </si>
  <si>
    <t>نسبة الانطباق
% CONTROLS APPLICABLE</t>
  </si>
  <si>
    <t>الضوابط المطبقة فعلياً
CONTROLS IMPLEMENTED</t>
  </si>
  <si>
    <t>نسبة التطبيق الفعلي
% APP CONTROLS IMPLEMENTED</t>
  </si>
  <si>
    <t>الإجمالي العام (Total)</t>
  </si>
  <si>
    <t>عدد الضوابط المنطبقة والمطبقة حسب المجال (Number of Controls)</t>
  </si>
  <si>
    <t>مجال الضوابط في المواصفة</t>
  </si>
  <si>
    <t>الضوابط المنطبقة</t>
  </si>
  <si>
    <t>الضوابط المطبقة</t>
  </si>
  <si>
    <t>A.8 الضوابط التقنية</t>
  </si>
  <si>
    <t>A.7 الضوابط المادية</t>
  </si>
  <si>
    <t>A.6 ضوابط الأفراد</t>
  </si>
  <si>
    <t>A.5 الضوابط التنظيمية</t>
  </si>
  <si>
    <t>نسب الانطباق والتطبيق الفعلي للضوابط (Percentage of Controls)</t>
  </si>
  <si>
    <t>نسبة التطبيق الفعلي</t>
  </si>
  <si>
    <t>نسبة الانطباق</t>
  </si>
  <si>
    <t>بيانات مخطط الرادار لنسب التطبيق الفعلي (Radar Chart Data)</t>
  </si>
  <si>
    <t xml:space="preserve">
</t>
  </si>
  <si>
    <t xml:space="preserve">التصنيف الأمني </t>
  </si>
  <si>
    <t xml:space="preserve">عنوان الوثيقة </t>
  </si>
  <si>
    <t xml:space="preserve">المرجع الإجرائي </t>
  </si>
  <si>
    <t xml:space="preserve">رقم الإصدار </t>
  </si>
  <si>
    <t xml:space="preserve">تاريخ الاعتماد </t>
  </si>
  <si>
    <t xml:space="preserve">الاعتماد والمصادقة </t>
  </si>
  <si>
    <t xml:space="preserve">مالك الوثيقة </t>
  </si>
  <si>
    <t>فريق الإعداد والاستشارة</t>
  </si>
  <si>
    <t xml:space="preserve">المرجع المعياري </t>
  </si>
  <si>
    <t xml:space="preserve">الامتثال التنظيمي </t>
  </si>
  <si>
    <t xml:space="preserve">نظم إدارة أمن المعلومات: المتطلبات </t>
  </si>
  <si>
    <t xml:space="preserve">القسم / المجال
</t>
  </si>
  <si>
    <t xml:space="preserve">الضابط الأمني المرجعي
</t>
  </si>
  <si>
    <t>حالة التطبيق الفعلي?</t>
  </si>
  <si>
    <t>مبررات الشمول أو الاستبعاد</t>
  </si>
  <si>
    <t>الملاحظات، الأدلة التشغيلية، ومواءمتها مع بنك الآفاق</t>
  </si>
  <si>
    <t>هل الضابط خاضع للتطبيق؟</t>
  </si>
  <si>
    <t xml:space="preserve">A.5 الضوابط التنظيمية </t>
  </si>
  <si>
    <t xml:space="preserve">A.7 الضوابط المادية </t>
  </si>
  <si>
    <t xml:space="preserve">A.8 الضوابط التقنية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</si>
</sst>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rial"/>
      <family val="2"/>
      <scheme val="minor"/>
    </font>
    <font>
      <b/>
      <sz val="11"/>
      <color rgb="FF204D53"/>
      <name val="Calibri"/>
    </font>
    <font>
      <b/>
      <sz val="14"/>
      <color rgb="FF204D53"/>
      <name val="Calibri"/>
    </font>
    <font>
      <i/>
      <sz val="9.5"/>
      <color rgb="FF555555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9.5"/>
      <color rgb="FF101010"/>
      <name val="Calibri"/>
    </font>
    <font>
      <b/>
      <sz val="14"/>
      <color rgb="FF204D53"/>
      <name val="Calibri"/>
      <family val="2"/>
    </font>
    <font>
      <b/>
      <sz val="14"/>
      <color theme="1"/>
      <name val="Arial"/>
      <family val="2"/>
      <scheme val="minor"/>
    </font>
    <font>
      <b/>
      <sz val="14"/>
      <color rgb="FF101010"/>
      <name val="Calibri"/>
      <family val="2"/>
    </font>
    <font>
      <i/>
      <sz val="9"/>
      <color rgb="FF555555"/>
      <name val="Calibri"/>
      <family val="2"/>
    </font>
    <font>
      <b/>
      <sz val="14"/>
      <color rgb="FF000000"/>
      <name val="Calibri"/>
      <family val="2"/>
    </font>
    <font>
      <b/>
      <sz val="12"/>
      <color rgb="FF204D53"/>
      <name val="Times New Roman"/>
      <family val="1"/>
      <scheme val="major"/>
    </font>
    <font>
      <b/>
      <sz val="12"/>
      <color rgb="FF00000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color rgb="FF101010"/>
      <name val="Times New Roman"/>
      <family val="1"/>
      <scheme val="major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DF0"/>
        <bgColor rgb="FFD9EDF0"/>
      </patternFill>
    </fill>
    <fill>
      <patternFill patternType="solid">
        <fgColor rgb="FF367C85"/>
        <bgColor rgb="FF367C85"/>
      </patternFill>
    </fill>
    <fill>
      <patternFill patternType="solid">
        <fgColor rgb="FFFFFFFF"/>
        <bgColor rgb="FFFFFFFF"/>
      </patternFill>
    </fill>
    <fill>
      <patternFill patternType="solid">
        <fgColor rgb="FFF9FBFB"/>
        <bgColor rgb="FFF9FBFB"/>
      </patternFill>
    </fill>
  </fills>
  <borders count="3">
    <border>
      <left/>
      <right/>
      <top/>
      <bottom/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thin">
        <color rgb="FFC0D0D2"/>
      </bottom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medium">
        <color rgb="FF367C8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readingOrder="2"/>
    </xf>
    <xf numFmtId="0" fontId="7" fillId="2" borderId="1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readingOrder="2"/>
    </xf>
    <xf numFmtId="0" fontId="9" fillId="0" borderId="1" xfId="0" applyFont="1" applyBorder="1" applyAlignment="1">
      <alignment horizontal="right" vertical="center" wrapText="1" readingOrder="2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right" vertical="center" wrapText="1" readingOrder="1"/>
    </xf>
    <xf numFmtId="0" fontId="11" fillId="0" borderId="0" xfId="0" applyFont="1"/>
    <xf numFmtId="0" fontId="13" fillId="4" borderId="1" xfId="0" applyFont="1" applyFill="1" applyBorder="1" applyAlignment="1">
      <alignment horizontal="right" vertical="center" wrapText="1" readingOrder="2"/>
    </xf>
    <xf numFmtId="0" fontId="13" fillId="4" borderId="1" xfId="0" applyFont="1" applyFill="1" applyBorder="1" applyAlignment="1">
      <alignment horizontal="center" vertical="center" wrapText="1" readingOrder="2"/>
    </xf>
    <xf numFmtId="0" fontId="13" fillId="5" borderId="1" xfId="0" applyFont="1" applyFill="1" applyBorder="1" applyAlignment="1">
      <alignment horizontal="right" vertical="center" wrapText="1" readingOrder="2"/>
    </xf>
    <xf numFmtId="0" fontId="13" fillId="5" borderId="1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left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4" fillId="0" borderId="0" xfId="0" applyFont="1" applyAlignment="1">
      <alignment readingOrder="2"/>
    </xf>
    <xf numFmtId="0" fontId="14" fillId="0" borderId="1" xfId="0" applyFont="1" applyBorder="1" applyAlignment="1">
      <alignment readingOrder="2"/>
    </xf>
    <xf numFmtId="0" fontId="15" fillId="4" borderId="1" xfId="0" applyFont="1" applyFill="1" applyBorder="1" applyAlignment="1">
      <alignment horizontal="right" vertical="center" wrapText="1" readingOrder="2"/>
    </xf>
    <xf numFmtId="0" fontId="15" fillId="5" borderId="1" xfId="0" applyFont="1" applyFill="1" applyBorder="1" applyAlignment="1">
      <alignment horizontal="right" vertical="center" wrapText="1" readingOrder="2"/>
    </xf>
    <xf numFmtId="0" fontId="14" fillId="2" borderId="2" xfId="0" applyFont="1" applyFill="1" applyBorder="1" applyAlignment="1">
      <alignment readingOrder="2"/>
    </xf>
    <xf numFmtId="0" fontId="16" fillId="3" borderId="1" xfId="0" applyFont="1" applyFill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readingOrder="2"/>
    </xf>
    <xf numFmtId="0" fontId="12" fillId="0" borderId="0" xfId="0" applyFont="1" applyAlignment="1">
      <alignment horizontal="center" readingOrder="2"/>
    </xf>
    <xf numFmtId="0" fontId="13" fillId="5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/>
    <xf numFmtId="0" fontId="15" fillId="5" borderId="1" xfId="0" applyFont="1" applyFill="1" applyBorder="1" applyAlignment="1">
      <alignment horizontal="right" vertical="center" wrapText="1"/>
    </xf>
    <xf numFmtId="0" fontId="15" fillId="4" borderId="1" xfId="0" applyFont="1" applyFill="1" applyBorder="1" applyAlignment="1">
      <alignment horizontal="right" vertical="center" wrapText="1"/>
    </xf>
    <xf numFmtId="0" fontId="14" fillId="2" borderId="2" xfId="0" applyFont="1" applyFill="1" applyBorder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</xdr:col>
      <xdr:colOff>2533650</xdr:colOff>
      <xdr:row>2</xdr:row>
      <xdr:rowOff>1562100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03B50-9129-4A9D-B2C7-30328A14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0623950" y="200025"/>
          <a:ext cx="2838450" cy="1724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78441</xdr:colOff>
      <xdr:row>0</xdr:row>
      <xdr:rowOff>0</xdr:rowOff>
    </xdr:from>
    <xdr:to>
      <xdr:col>2</xdr:col>
      <xdr:colOff>2879911</xdr:colOff>
      <xdr:row>3</xdr:row>
      <xdr:rowOff>1187824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438DE-10D0-4B2B-A92A-B6EF23615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571265" y="0"/>
          <a:ext cx="2801470" cy="1725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5"/>
  <sheetViews>
    <sheetView rightToLeft="1" tabSelected="1" workbookViewId="0">
      <selection activeCell="C20" sqref="C20"/>
    </sheetView>
  </sheetViews>
  <sheetFormatPr defaultRowHeight="14.25" x14ac:dyDescent="0.2"/>
  <cols>
    <col min="1" max="1" width="4" customWidth="1"/>
    <col min="2" max="2" width="34" customWidth="1"/>
    <col min="3" max="3" width="85" customWidth="1"/>
  </cols>
  <sheetData>
    <row r="3" spans="2:3" ht="126.75" customHeight="1" x14ac:dyDescent="0.2"/>
    <row r="4" spans="2:3" ht="18.75" x14ac:dyDescent="0.3">
      <c r="B4" s="19" t="s">
        <v>0</v>
      </c>
      <c r="C4" s="21"/>
    </row>
    <row r="5" spans="2:3" ht="18" x14ac:dyDescent="0.25">
      <c r="B5" s="21"/>
      <c r="C5" s="21"/>
    </row>
    <row r="6" spans="2:3" ht="33.75" customHeight="1" x14ac:dyDescent="0.2">
      <c r="B6" s="20" t="s">
        <v>317</v>
      </c>
      <c r="C6" s="22" t="s">
        <v>1</v>
      </c>
    </row>
    <row r="7" spans="2:3" ht="27.75" customHeight="1" x14ac:dyDescent="0.2">
      <c r="B7" s="20" t="s">
        <v>318</v>
      </c>
      <c r="C7" s="22" t="s">
        <v>2</v>
      </c>
    </row>
    <row r="8" spans="2:3" ht="21.95" customHeight="1" x14ac:dyDescent="0.2">
      <c r="B8" s="20" t="s">
        <v>319</v>
      </c>
      <c r="C8" s="22" t="s">
        <v>3</v>
      </c>
    </row>
    <row r="9" spans="2:3" ht="21.95" customHeight="1" x14ac:dyDescent="0.2">
      <c r="B9" s="20" t="s">
        <v>320</v>
      </c>
      <c r="C9" s="22">
        <v>1</v>
      </c>
    </row>
    <row r="10" spans="2:3" ht="21.95" customHeight="1" x14ac:dyDescent="0.2">
      <c r="B10" s="20" t="s">
        <v>321</v>
      </c>
      <c r="C10" s="22" t="s">
        <v>4</v>
      </c>
    </row>
    <row r="11" spans="2:3" ht="21.95" customHeight="1" x14ac:dyDescent="0.2">
      <c r="B11" s="20" t="s">
        <v>322</v>
      </c>
      <c r="C11" s="22" t="s">
        <v>5</v>
      </c>
    </row>
    <row r="12" spans="2:3" ht="21.95" customHeight="1" x14ac:dyDescent="0.2">
      <c r="B12" s="20" t="s">
        <v>323</v>
      </c>
      <c r="C12" s="22" t="s">
        <v>6</v>
      </c>
    </row>
    <row r="13" spans="2:3" ht="21.95" customHeight="1" x14ac:dyDescent="0.2">
      <c r="B13" s="20" t="s">
        <v>324</v>
      </c>
      <c r="C13" s="22" t="s">
        <v>7</v>
      </c>
    </row>
    <row r="14" spans="2:3" ht="21.95" customHeight="1" x14ac:dyDescent="0.2">
      <c r="B14" s="20" t="s">
        <v>325</v>
      </c>
      <c r="C14" s="24" t="s">
        <v>8</v>
      </c>
    </row>
    <row r="15" spans="2:3" ht="21.95" customHeight="1" x14ac:dyDescent="0.2">
      <c r="B15" s="20" t="s">
        <v>326</v>
      </c>
      <c r="C15" s="22" t="s">
        <v>9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12"/>
  <sheetViews>
    <sheetView rightToLeft="1" zoomScale="85" zoomScaleNormal="85" workbookViewId="0">
      <pane xSplit="1" ySplit="8" topLeftCell="B100" activePane="bottomRight" state="frozen"/>
      <selection pane="topRight"/>
      <selection pane="bottomLeft"/>
      <selection pane="bottomRight" activeCell="B77" sqref="B77"/>
    </sheetView>
  </sheetViews>
  <sheetFormatPr defaultRowHeight="14.25" x14ac:dyDescent="0.2"/>
  <cols>
    <col min="1" max="1" width="4" customWidth="1"/>
    <col min="2" max="2" width="24" customWidth="1"/>
    <col min="3" max="3" width="38" customWidth="1"/>
    <col min="4" max="5" width="16" customWidth="1"/>
    <col min="6" max="6" width="46" customWidth="1"/>
    <col min="7" max="7" width="52" customWidth="1"/>
  </cols>
  <sheetData>
    <row r="4" spans="2:7" ht="106.5" customHeight="1" x14ac:dyDescent="0.2">
      <c r="F4" s="23" t="s">
        <v>316</v>
      </c>
    </row>
    <row r="5" spans="2:7" ht="18.75" x14ac:dyDescent="0.3">
      <c r="B5" s="25" t="s">
        <v>327</v>
      </c>
    </row>
    <row r="8" spans="2:7" s="21" customFormat="1" ht="53.25" customHeight="1" x14ac:dyDescent="0.25">
      <c r="B8" s="37" t="s">
        <v>328</v>
      </c>
      <c r="C8" s="37" t="s">
        <v>329</v>
      </c>
      <c r="D8" s="37" t="s">
        <v>333</v>
      </c>
      <c r="E8" s="37" t="s">
        <v>330</v>
      </c>
      <c r="F8" s="37" t="s">
        <v>331</v>
      </c>
      <c r="G8" s="37" t="s">
        <v>332</v>
      </c>
    </row>
    <row r="10" spans="2:7" ht="47.25" customHeight="1" x14ac:dyDescent="0.25">
      <c r="B10" s="33" t="s">
        <v>334</v>
      </c>
      <c r="C10" s="26" t="s">
        <v>11</v>
      </c>
      <c r="D10" s="27" t="s">
        <v>12</v>
      </c>
      <c r="E10" s="27" t="s">
        <v>12</v>
      </c>
      <c r="F10" s="34" t="s">
        <v>13</v>
      </c>
      <c r="G10" s="34" t="s">
        <v>14</v>
      </c>
    </row>
    <row r="11" spans="2:7" ht="36" customHeight="1" x14ac:dyDescent="0.25">
      <c r="B11" s="33"/>
      <c r="C11" s="28" t="s">
        <v>15</v>
      </c>
      <c r="D11" s="29" t="s">
        <v>12</v>
      </c>
      <c r="E11" s="29" t="s">
        <v>12</v>
      </c>
      <c r="F11" s="35" t="s">
        <v>16</v>
      </c>
      <c r="G11" s="35" t="s">
        <v>17</v>
      </c>
    </row>
    <row r="12" spans="2:7" ht="36" customHeight="1" x14ac:dyDescent="0.25">
      <c r="B12" s="33"/>
      <c r="C12" s="26" t="s">
        <v>18</v>
      </c>
      <c r="D12" s="27" t="s">
        <v>12</v>
      </c>
      <c r="E12" s="27" t="s">
        <v>12</v>
      </c>
      <c r="F12" s="34" t="s">
        <v>19</v>
      </c>
      <c r="G12" s="34" t="s">
        <v>20</v>
      </c>
    </row>
    <row r="13" spans="2:7" ht="36" customHeight="1" x14ac:dyDescent="0.25">
      <c r="B13" s="33"/>
      <c r="C13" s="28" t="s">
        <v>21</v>
      </c>
      <c r="D13" s="29" t="s">
        <v>12</v>
      </c>
      <c r="E13" s="29" t="s">
        <v>12</v>
      </c>
      <c r="F13" s="35" t="s">
        <v>22</v>
      </c>
      <c r="G13" s="35" t="s">
        <v>23</v>
      </c>
    </row>
    <row r="14" spans="2:7" ht="36" customHeight="1" x14ac:dyDescent="0.25">
      <c r="B14" s="33"/>
      <c r="C14" s="26" t="s">
        <v>24</v>
      </c>
      <c r="D14" s="27" t="s">
        <v>12</v>
      </c>
      <c r="E14" s="27" t="s">
        <v>12</v>
      </c>
      <c r="F14" s="34" t="s">
        <v>25</v>
      </c>
      <c r="G14" s="34" t="s">
        <v>26</v>
      </c>
    </row>
    <row r="15" spans="2:7" ht="36" customHeight="1" x14ac:dyDescent="0.25">
      <c r="B15" s="33"/>
      <c r="C15" s="28" t="s">
        <v>27</v>
      </c>
      <c r="D15" s="29" t="s">
        <v>12</v>
      </c>
      <c r="E15" s="29" t="s">
        <v>12</v>
      </c>
      <c r="F15" s="35" t="s">
        <v>28</v>
      </c>
      <c r="G15" s="35" t="s">
        <v>29</v>
      </c>
    </row>
    <row r="16" spans="2:7" ht="36" customHeight="1" x14ac:dyDescent="0.25">
      <c r="B16" s="33"/>
      <c r="C16" s="26" t="s">
        <v>30</v>
      </c>
      <c r="D16" s="27" t="s">
        <v>12</v>
      </c>
      <c r="E16" s="27" t="s">
        <v>12</v>
      </c>
      <c r="F16" s="34" t="s">
        <v>31</v>
      </c>
      <c r="G16" s="34" t="s">
        <v>32</v>
      </c>
    </row>
    <row r="17" spans="2:7" ht="36" customHeight="1" x14ac:dyDescent="0.25">
      <c r="B17" s="33"/>
      <c r="C17" s="28" t="s">
        <v>33</v>
      </c>
      <c r="D17" s="29" t="s">
        <v>12</v>
      </c>
      <c r="E17" s="29" t="s">
        <v>12</v>
      </c>
      <c r="F17" s="35" t="s">
        <v>34</v>
      </c>
      <c r="G17" s="35" t="s">
        <v>35</v>
      </c>
    </row>
    <row r="18" spans="2:7" ht="36" customHeight="1" x14ac:dyDescent="0.25">
      <c r="B18" s="33"/>
      <c r="C18" s="26" t="s">
        <v>36</v>
      </c>
      <c r="D18" s="27" t="s">
        <v>12</v>
      </c>
      <c r="E18" s="27" t="s">
        <v>12</v>
      </c>
      <c r="F18" s="34" t="s">
        <v>37</v>
      </c>
      <c r="G18" s="34" t="s">
        <v>38</v>
      </c>
    </row>
    <row r="19" spans="2:7" ht="36" customHeight="1" x14ac:dyDescent="0.25">
      <c r="B19" s="33"/>
      <c r="C19" s="28" t="s">
        <v>39</v>
      </c>
      <c r="D19" s="29" t="s">
        <v>12</v>
      </c>
      <c r="E19" s="29" t="s">
        <v>12</v>
      </c>
      <c r="F19" s="35" t="s">
        <v>40</v>
      </c>
      <c r="G19" s="35" t="s">
        <v>41</v>
      </c>
    </row>
    <row r="20" spans="2:7" ht="36" customHeight="1" x14ac:dyDescent="0.25">
      <c r="B20" s="33"/>
      <c r="C20" s="26" t="s">
        <v>42</v>
      </c>
      <c r="D20" s="27" t="s">
        <v>12</v>
      </c>
      <c r="E20" s="27" t="s">
        <v>12</v>
      </c>
      <c r="F20" s="34" t="s">
        <v>43</v>
      </c>
      <c r="G20" s="34" t="s">
        <v>44</v>
      </c>
    </row>
    <row r="21" spans="2:7" ht="36" customHeight="1" x14ac:dyDescent="0.25">
      <c r="B21" s="33"/>
      <c r="C21" s="28" t="s">
        <v>45</v>
      </c>
      <c r="D21" s="29" t="s">
        <v>12</v>
      </c>
      <c r="E21" s="29" t="s">
        <v>12</v>
      </c>
      <c r="F21" s="35" t="s">
        <v>46</v>
      </c>
      <c r="G21" s="35" t="s">
        <v>47</v>
      </c>
    </row>
    <row r="22" spans="2:7" ht="36" customHeight="1" x14ac:dyDescent="0.25">
      <c r="B22" s="33"/>
      <c r="C22" s="26" t="s">
        <v>48</v>
      </c>
      <c r="D22" s="27" t="s">
        <v>12</v>
      </c>
      <c r="E22" s="27" t="s">
        <v>12</v>
      </c>
      <c r="F22" s="34" t="s">
        <v>49</v>
      </c>
      <c r="G22" s="34" t="s">
        <v>50</v>
      </c>
    </row>
    <row r="23" spans="2:7" ht="36" customHeight="1" x14ac:dyDescent="0.25">
      <c r="B23" s="33"/>
      <c r="C23" s="28" t="s">
        <v>51</v>
      </c>
      <c r="D23" s="29" t="s">
        <v>12</v>
      </c>
      <c r="E23" s="29" t="s">
        <v>12</v>
      </c>
      <c r="F23" s="35" t="s">
        <v>52</v>
      </c>
      <c r="G23" s="35" t="s">
        <v>53</v>
      </c>
    </row>
    <row r="24" spans="2:7" ht="36" customHeight="1" x14ac:dyDescent="0.25">
      <c r="B24" s="33"/>
      <c r="C24" s="26" t="s">
        <v>54</v>
      </c>
      <c r="D24" s="27" t="s">
        <v>12</v>
      </c>
      <c r="E24" s="27" t="s">
        <v>12</v>
      </c>
      <c r="F24" s="34" t="s">
        <v>55</v>
      </c>
      <c r="G24" s="34" t="s">
        <v>56</v>
      </c>
    </row>
    <row r="25" spans="2:7" ht="36" customHeight="1" x14ac:dyDescent="0.25">
      <c r="B25" s="33"/>
      <c r="C25" s="28" t="s">
        <v>57</v>
      </c>
      <c r="D25" s="29" t="s">
        <v>12</v>
      </c>
      <c r="E25" s="29" t="s">
        <v>12</v>
      </c>
      <c r="F25" s="35" t="s">
        <v>58</v>
      </c>
      <c r="G25" s="35" t="s">
        <v>59</v>
      </c>
    </row>
    <row r="26" spans="2:7" ht="36" customHeight="1" x14ac:dyDescent="0.25">
      <c r="B26" s="33"/>
      <c r="C26" s="26" t="s">
        <v>60</v>
      </c>
      <c r="D26" s="27" t="s">
        <v>12</v>
      </c>
      <c r="E26" s="27" t="s">
        <v>12</v>
      </c>
      <c r="F26" s="34" t="s">
        <v>61</v>
      </c>
      <c r="G26" s="34" t="s">
        <v>62</v>
      </c>
    </row>
    <row r="27" spans="2:7" ht="36" customHeight="1" x14ac:dyDescent="0.25">
      <c r="B27" s="33"/>
      <c r="C27" s="28" t="s">
        <v>63</v>
      </c>
      <c r="D27" s="29" t="s">
        <v>12</v>
      </c>
      <c r="E27" s="29" t="s">
        <v>12</v>
      </c>
      <c r="F27" s="35" t="s">
        <v>64</v>
      </c>
      <c r="G27" s="35" t="s">
        <v>65</v>
      </c>
    </row>
    <row r="28" spans="2:7" ht="36" customHeight="1" x14ac:dyDescent="0.25">
      <c r="B28" s="33"/>
      <c r="C28" s="26" t="s">
        <v>66</v>
      </c>
      <c r="D28" s="27" t="s">
        <v>12</v>
      </c>
      <c r="E28" s="27" t="s">
        <v>12</v>
      </c>
      <c r="F28" s="34" t="s">
        <v>67</v>
      </c>
      <c r="G28" s="34" t="s">
        <v>68</v>
      </c>
    </row>
    <row r="29" spans="2:7" ht="36" customHeight="1" x14ac:dyDescent="0.25">
      <c r="B29" s="33"/>
      <c r="C29" s="28" t="s">
        <v>69</v>
      </c>
      <c r="D29" s="29" t="s">
        <v>12</v>
      </c>
      <c r="E29" s="29" t="s">
        <v>12</v>
      </c>
      <c r="F29" s="35" t="s">
        <v>70</v>
      </c>
      <c r="G29" s="35" t="s">
        <v>71</v>
      </c>
    </row>
    <row r="30" spans="2:7" ht="36" customHeight="1" x14ac:dyDescent="0.25">
      <c r="B30" s="33"/>
      <c r="C30" s="26" t="s">
        <v>72</v>
      </c>
      <c r="D30" s="27" t="s">
        <v>12</v>
      </c>
      <c r="E30" s="27" t="s">
        <v>12</v>
      </c>
      <c r="F30" s="34" t="s">
        <v>73</v>
      </c>
      <c r="G30" s="34" t="s">
        <v>74</v>
      </c>
    </row>
    <row r="31" spans="2:7" ht="36" customHeight="1" x14ac:dyDescent="0.25">
      <c r="B31" s="33"/>
      <c r="C31" s="28" t="s">
        <v>75</v>
      </c>
      <c r="D31" s="29" t="s">
        <v>12</v>
      </c>
      <c r="E31" s="29" t="s">
        <v>12</v>
      </c>
      <c r="F31" s="35" t="s">
        <v>76</v>
      </c>
      <c r="G31" s="35" t="s">
        <v>77</v>
      </c>
    </row>
    <row r="32" spans="2:7" ht="36" customHeight="1" x14ac:dyDescent="0.25">
      <c r="B32" s="33"/>
      <c r="C32" s="26" t="s">
        <v>78</v>
      </c>
      <c r="D32" s="27" t="s">
        <v>12</v>
      </c>
      <c r="E32" s="27" t="s">
        <v>12</v>
      </c>
      <c r="F32" s="34" t="s">
        <v>79</v>
      </c>
      <c r="G32" s="34" t="s">
        <v>80</v>
      </c>
    </row>
    <row r="33" spans="2:7" ht="36" customHeight="1" x14ac:dyDescent="0.25">
      <c r="B33" s="33"/>
      <c r="C33" s="28" t="s">
        <v>81</v>
      </c>
      <c r="D33" s="29" t="s">
        <v>12</v>
      </c>
      <c r="E33" s="29" t="s">
        <v>12</v>
      </c>
      <c r="F33" s="35" t="s">
        <v>82</v>
      </c>
      <c r="G33" s="35" t="s">
        <v>83</v>
      </c>
    </row>
    <row r="34" spans="2:7" ht="36" customHeight="1" x14ac:dyDescent="0.25">
      <c r="B34" s="33"/>
      <c r="C34" s="26" t="s">
        <v>84</v>
      </c>
      <c r="D34" s="27" t="s">
        <v>12</v>
      </c>
      <c r="E34" s="27" t="s">
        <v>12</v>
      </c>
      <c r="F34" s="34" t="s">
        <v>85</v>
      </c>
      <c r="G34" s="34" t="s">
        <v>86</v>
      </c>
    </row>
    <row r="35" spans="2:7" ht="36" customHeight="1" x14ac:dyDescent="0.25">
      <c r="B35" s="33"/>
      <c r="C35" s="28" t="s">
        <v>87</v>
      </c>
      <c r="D35" s="29" t="s">
        <v>12</v>
      </c>
      <c r="E35" s="29" t="s">
        <v>12</v>
      </c>
      <c r="F35" s="35" t="s">
        <v>88</v>
      </c>
      <c r="G35" s="35" t="s">
        <v>89</v>
      </c>
    </row>
    <row r="36" spans="2:7" ht="36" customHeight="1" x14ac:dyDescent="0.25">
      <c r="B36" s="33"/>
      <c r="C36" s="26" t="s">
        <v>90</v>
      </c>
      <c r="D36" s="27" t="s">
        <v>12</v>
      </c>
      <c r="E36" s="27" t="s">
        <v>12</v>
      </c>
      <c r="F36" s="34" t="s">
        <v>91</v>
      </c>
      <c r="G36" s="34" t="s">
        <v>92</v>
      </c>
    </row>
    <row r="37" spans="2:7" ht="36" customHeight="1" x14ac:dyDescent="0.25">
      <c r="B37" s="33"/>
      <c r="C37" s="28" t="s">
        <v>93</v>
      </c>
      <c r="D37" s="29" t="s">
        <v>12</v>
      </c>
      <c r="E37" s="29" t="s">
        <v>12</v>
      </c>
      <c r="F37" s="35" t="s">
        <v>94</v>
      </c>
      <c r="G37" s="35" t="s">
        <v>95</v>
      </c>
    </row>
    <row r="38" spans="2:7" ht="36" customHeight="1" x14ac:dyDescent="0.25">
      <c r="B38" s="33"/>
      <c r="C38" s="26" t="s">
        <v>96</v>
      </c>
      <c r="D38" s="27" t="s">
        <v>12</v>
      </c>
      <c r="E38" s="27" t="s">
        <v>12</v>
      </c>
      <c r="F38" s="34" t="s">
        <v>97</v>
      </c>
      <c r="G38" s="34" t="s">
        <v>98</v>
      </c>
    </row>
    <row r="39" spans="2:7" ht="36" customHeight="1" x14ac:dyDescent="0.25">
      <c r="B39" s="33"/>
      <c r="C39" s="28" t="s">
        <v>99</v>
      </c>
      <c r="D39" s="29" t="s">
        <v>12</v>
      </c>
      <c r="E39" s="29" t="s">
        <v>12</v>
      </c>
      <c r="F39" s="35" t="s">
        <v>100</v>
      </c>
      <c r="G39" s="35" t="s">
        <v>101</v>
      </c>
    </row>
    <row r="40" spans="2:7" ht="36" customHeight="1" x14ac:dyDescent="0.25">
      <c r="B40" s="33"/>
      <c r="C40" s="26" t="s">
        <v>102</v>
      </c>
      <c r="D40" s="27" t="s">
        <v>12</v>
      </c>
      <c r="E40" s="27" t="s">
        <v>12</v>
      </c>
      <c r="F40" s="34" t="s">
        <v>103</v>
      </c>
      <c r="G40" s="34" t="s">
        <v>104</v>
      </c>
    </row>
    <row r="41" spans="2:7" ht="36" customHeight="1" x14ac:dyDescent="0.25">
      <c r="B41" s="33"/>
      <c r="C41" s="28" t="s">
        <v>105</v>
      </c>
      <c r="D41" s="29" t="s">
        <v>12</v>
      </c>
      <c r="E41" s="29" t="s">
        <v>12</v>
      </c>
      <c r="F41" s="35" t="s">
        <v>106</v>
      </c>
      <c r="G41" s="35" t="s">
        <v>107</v>
      </c>
    </row>
    <row r="42" spans="2:7" ht="36" customHeight="1" x14ac:dyDescent="0.25">
      <c r="B42" s="33"/>
      <c r="C42" s="26" t="s">
        <v>108</v>
      </c>
      <c r="D42" s="27" t="s">
        <v>12</v>
      </c>
      <c r="E42" s="27" t="s">
        <v>12</v>
      </c>
      <c r="F42" s="34" t="s">
        <v>109</v>
      </c>
      <c r="G42" s="34" t="s">
        <v>110</v>
      </c>
    </row>
    <row r="43" spans="2:7" ht="31.5" x14ac:dyDescent="0.25">
      <c r="B43" s="33"/>
      <c r="C43" s="28" t="s">
        <v>111</v>
      </c>
      <c r="D43" s="29" t="s">
        <v>12</v>
      </c>
      <c r="E43" s="29" t="s">
        <v>12</v>
      </c>
      <c r="F43" s="35" t="s">
        <v>112</v>
      </c>
      <c r="G43" s="35" t="s">
        <v>113</v>
      </c>
    </row>
    <row r="44" spans="2:7" ht="31.5" x14ac:dyDescent="0.25">
      <c r="B44" s="33"/>
      <c r="C44" s="26" t="s">
        <v>114</v>
      </c>
      <c r="D44" s="27" t="s">
        <v>12</v>
      </c>
      <c r="E44" s="27" t="s">
        <v>12</v>
      </c>
      <c r="F44" s="34" t="s">
        <v>115</v>
      </c>
      <c r="G44" s="34" t="s">
        <v>116</v>
      </c>
    </row>
    <row r="45" spans="2:7" ht="31.5" x14ac:dyDescent="0.25">
      <c r="B45" s="33"/>
      <c r="C45" s="28" t="s">
        <v>117</v>
      </c>
      <c r="D45" s="29" t="s">
        <v>12</v>
      </c>
      <c r="E45" s="29" t="s">
        <v>12</v>
      </c>
      <c r="F45" s="35" t="s">
        <v>118</v>
      </c>
      <c r="G45" s="35" t="s">
        <v>119</v>
      </c>
    </row>
    <row r="46" spans="2:7" ht="31.5" x14ac:dyDescent="0.25">
      <c r="B46" s="33"/>
      <c r="C46" s="26" t="s">
        <v>120</v>
      </c>
      <c r="D46" s="27" t="s">
        <v>12</v>
      </c>
      <c r="E46" s="27" t="s">
        <v>12</v>
      </c>
      <c r="F46" s="34" t="s">
        <v>121</v>
      </c>
      <c r="G46" s="34" t="s">
        <v>122</v>
      </c>
    </row>
    <row r="47" spans="2:7" ht="21.95" customHeight="1" x14ac:dyDescent="0.25">
      <c r="B47" s="33"/>
      <c r="C47" s="30" t="s">
        <v>123</v>
      </c>
      <c r="D47" s="31">
        <f>COUNTIF(D10:D46,"نعم")+COUNTIF(D10:D46,"Yes")</f>
        <v>37</v>
      </c>
      <c r="E47" s="31">
        <f>COUNTIF(E10:E46,"نعم")+COUNTIF(E10:E46,"Yes")</f>
        <v>37</v>
      </c>
      <c r="F47" s="36"/>
      <c r="G47" s="36"/>
    </row>
    <row r="49" spans="2:7" ht="21.95" customHeight="1" x14ac:dyDescent="0.25">
      <c r="B49" s="39" t="s">
        <v>310</v>
      </c>
      <c r="C49" s="32"/>
      <c r="D49" s="32"/>
      <c r="E49" s="32"/>
      <c r="F49" s="32"/>
      <c r="G49" s="32"/>
    </row>
    <row r="50" spans="2:7" ht="36" customHeight="1" x14ac:dyDescent="0.25">
      <c r="B50" s="38"/>
      <c r="C50" s="26" t="s">
        <v>125</v>
      </c>
      <c r="D50" s="27" t="s">
        <v>12</v>
      </c>
      <c r="E50" s="27" t="s">
        <v>12</v>
      </c>
      <c r="F50" s="34" t="s">
        <v>126</v>
      </c>
      <c r="G50" s="34" t="s">
        <v>127</v>
      </c>
    </row>
    <row r="51" spans="2:7" ht="36" customHeight="1" x14ac:dyDescent="0.25">
      <c r="B51" s="33"/>
      <c r="C51" s="28" t="s">
        <v>128</v>
      </c>
      <c r="D51" s="29" t="s">
        <v>12</v>
      </c>
      <c r="E51" s="29" t="s">
        <v>12</v>
      </c>
      <c r="F51" s="35" t="s">
        <v>129</v>
      </c>
      <c r="G51" s="35" t="s">
        <v>130</v>
      </c>
    </row>
    <row r="52" spans="2:7" ht="36" customHeight="1" x14ac:dyDescent="0.25">
      <c r="B52" s="33"/>
      <c r="C52" s="26" t="s">
        <v>131</v>
      </c>
      <c r="D52" s="27" t="s">
        <v>12</v>
      </c>
      <c r="E52" s="27" t="s">
        <v>12</v>
      </c>
      <c r="F52" s="34" t="s">
        <v>132</v>
      </c>
      <c r="G52" s="34" t="s">
        <v>133</v>
      </c>
    </row>
    <row r="53" spans="2:7" ht="36" customHeight="1" x14ac:dyDescent="0.25">
      <c r="B53" s="33"/>
      <c r="C53" s="28" t="s">
        <v>134</v>
      </c>
      <c r="D53" s="29" t="s">
        <v>12</v>
      </c>
      <c r="E53" s="29" t="s">
        <v>12</v>
      </c>
      <c r="F53" s="35" t="s">
        <v>135</v>
      </c>
      <c r="G53" s="35" t="s">
        <v>136</v>
      </c>
    </row>
    <row r="54" spans="2:7" ht="36" customHeight="1" x14ac:dyDescent="0.25">
      <c r="B54" s="33"/>
      <c r="C54" s="26" t="s">
        <v>137</v>
      </c>
      <c r="D54" s="27" t="s">
        <v>12</v>
      </c>
      <c r="E54" s="27" t="s">
        <v>12</v>
      </c>
      <c r="F54" s="34" t="s">
        <v>138</v>
      </c>
      <c r="G54" s="34" t="s">
        <v>139</v>
      </c>
    </row>
    <row r="55" spans="2:7" ht="44.25" customHeight="1" x14ac:dyDescent="0.25">
      <c r="B55" s="33"/>
      <c r="C55" s="28" t="s">
        <v>140</v>
      </c>
      <c r="D55" s="29" t="s">
        <v>12</v>
      </c>
      <c r="E55" s="29" t="s">
        <v>12</v>
      </c>
      <c r="F55" s="35" t="s">
        <v>141</v>
      </c>
      <c r="G55" s="35" t="s">
        <v>142</v>
      </c>
    </row>
    <row r="56" spans="2:7" ht="47.25" x14ac:dyDescent="0.25">
      <c r="B56" s="33"/>
      <c r="C56" s="26" t="s">
        <v>143</v>
      </c>
      <c r="D56" s="27" t="s">
        <v>12</v>
      </c>
      <c r="E56" s="27" t="s">
        <v>12</v>
      </c>
      <c r="F56" s="34" t="s">
        <v>144</v>
      </c>
      <c r="G56" s="34" t="s">
        <v>145</v>
      </c>
    </row>
    <row r="57" spans="2:7" ht="36" customHeight="1" x14ac:dyDescent="0.25">
      <c r="B57" s="33"/>
      <c r="C57" s="28" t="s">
        <v>146</v>
      </c>
      <c r="D57" s="29" t="s">
        <v>12</v>
      </c>
      <c r="E57" s="29" t="s">
        <v>12</v>
      </c>
      <c r="F57" s="35" t="s">
        <v>147</v>
      </c>
      <c r="G57" s="35" t="s">
        <v>148</v>
      </c>
    </row>
    <row r="58" spans="2:7" ht="21.95" customHeight="1" x14ac:dyDescent="0.25">
      <c r="B58" s="33"/>
      <c r="C58" s="30" t="s">
        <v>123</v>
      </c>
      <c r="D58" s="31">
        <f>COUNTIF(D50:D57,"نعم")+COUNTIF(D50:D57,"Yes")</f>
        <v>8</v>
      </c>
      <c r="E58" s="31">
        <f>COUNTIF(E50:E57,"نعم")+COUNTIF(E50:E57,"Yes")</f>
        <v>8</v>
      </c>
      <c r="F58" s="36"/>
      <c r="G58" s="36"/>
    </row>
    <row r="60" spans="2:7" ht="21.95" customHeight="1" x14ac:dyDescent="0.25">
      <c r="B60" s="51" t="s">
        <v>335</v>
      </c>
      <c r="C60" s="46"/>
      <c r="D60" s="46"/>
      <c r="E60" s="46"/>
      <c r="F60" s="46"/>
      <c r="G60" s="46"/>
    </row>
    <row r="61" spans="2:7" ht="36" customHeight="1" x14ac:dyDescent="0.25">
      <c r="B61" s="47"/>
      <c r="C61" s="40" t="s">
        <v>150</v>
      </c>
      <c r="D61" s="41" t="s">
        <v>12</v>
      </c>
      <c r="E61" s="41" t="s">
        <v>12</v>
      </c>
      <c r="F61" s="48" t="s">
        <v>151</v>
      </c>
      <c r="G61" s="48" t="s">
        <v>152</v>
      </c>
    </row>
    <row r="62" spans="2:7" ht="36" customHeight="1" x14ac:dyDescent="0.25">
      <c r="B62" s="47"/>
      <c r="C62" s="42" t="s">
        <v>153</v>
      </c>
      <c r="D62" s="43" t="s">
        <v>12</v>
      </c>
      <c r="E62" s="43" t="s">
        <v>12</v>
      </c>
      <c r="F62" s="49" t="s">
        <v>154</v>
      </c>
      <c r="G62" s="49" t="s">
        <v>155</v>
      </c>
    </row>
    <row r="63" spans="2:7" ht="36" customHeight="1" x14ac:dyDescent="0.25">
      <c r="B63" s="47"/>
      <c r="C63" s="40" t="s">
        <v>156</v>
      </c>
      <c r="D63" s="41" t="s">
        <v>12</v>
      </c>
      <c r="E63" s="41" t="s">
        <v>12</v>
      </c>
      <c r="F63" s="48" t="s">
        <v>157</v>
      </c>
      <c r="G63" s="48" t="s">
        <v>158</v>
      </c>
    </row>
    <row r="64" spans="2:7" ht="36" customHeight="1" x14ac:dyDescent="0.25">
      <c r="B64" s="47"/>
      <c r="C64" s="42" t="s">
        <v>159</v>
      </c>
      <c r="D64" s="43" t="s">
        <v>12</v>
      </c>
      <c r="E64" s="43" t="s">
        <v>12</v>
      </c>
      <c r="F64" s="49" t="s">
        <v>160</v>
      </c>
      <c r="G64" s="49" t="s">
        <v>161</v>
      </c>
    </row>
    <row r="65" spans="2:7" ht="36" customHeight="1" x14ac:dyDescent="0.25">
      <c r="B65" s="47"/>
      <c r="C65" s="40" t="s">
        <v>162</v>
      </c>
      <c r="D65" s="41" t="s">
        <v>12</v>
      </c>
      <c r="E65" s="41" t="s">
        <v>12</v>
      </c>
      <c r="F65" s="48" t="s">
        <v>163</v>
      </c>
      <c r="G65" s="48" t="s">
        <v>164</v>
      </c>
    </row>
    <row r="66" spans="2:7" ht="36" customHeight="1" x14ac:dyDescent="0.25">
      <c r="B66" s="47"/>
      <c r="C66" s="42" t="s">
        <v>165</v>
      </c>
      <c r="D66" s="43" t="s">
        <v>12</v>
      </c>
      <c r="E66" s="43" t="s">
        <v>12</v>
      </c>
      <c r="F66" s="49" t="s">
        <v>166</v>
      </c>
      <c r="G66" s="49" t="s">
        <v>167</v>
      </c>
    </row>
    <row r="67" spans="2:7" ht="36" customHeight="1" x14ac:dyDescent="0.25">
      <c r="B67" s="47"/>
      <c r="C67" s="40" t="s">
        <v>168</v>
      </c>
      <c r="D67" s="41" t="s">
        <v>12</v>
      </c>
      <c r="E67" s="41" t="s">
        <v>12</v>
      </c>
      <c r="F67" s="48" t="s">
        <v>169</v>
      </c>
      <c r="G67" s="48" t="s">
        <v>170</v>
      </c>
    </row>
    <row r="68" spans="2:7" ht="36" customHeight="1" x14ac:dyDescent="0.25">
      <c r="B68" s="47"/>
      <c r="C68" s="42" t="s">
        <v>171</v>
      </c>
      <c r="D68" s="43" t="s">
        <v>12</v>
      </c>
      <c r="E68" s="43" t="s">
        <v>12</v>
      </c>
      <c r="F68" s="49" t="s">
        <v>172</v>
      </c>
      <c r="G68" s="49" t="s">
        <v>173</v>
      </c>
    </row>
    <row r="69" spans="2:7" ht="36" customHeight="1" x14ac:dyDescent="0.25">
      <c r="B69" s="47"/>
      <c r="C69" s="40" t="s">
        <v>174</v>
      </c>
      <c r="D69" s="41" t="s">
        <v>12</v>
      </c>
      <c r="E69" s="41" t="s">
        <v>12</v>
      </c>
      <c r="F69" s="48" t="s">
        <v>175</v>
      </c>
      <c r="G69" s="48" t="s">
        <v>176</v>
      </c>
    </row>
    <row r="70" spans="2:7" ht="36" customHeight="1" x14ac:dyDescent="0.25">
      <c r="B70" s="47"/>
      <c r="C70" s="42" t="s">
        <v>177</v>
      </c>
      <c r="D70" s="43" t="s">
        <v>12</v>
      </c>
      <c r="E70" s="43" t="s">
        <v>12</v>
      </c>
      <c r="F70" s="49" t="s">
        <v>178</v>
      </c>
      <c r="G70" s="49" t="s">
        <v>179</v>
      </c>
    </row>
    <row r="71" spans="2:7" ht="36" customHeight="1" x14ac:dyDescent="0.25">
      <c r="B71" s="47"/>
      <c r="C71" s="40" t="s">
        <v>180</v>
      </c>
      <c r="D71" s="41" t="s">
        <v>12</v>
      </c>
      <c r="E71" s="41" t="s">
        <v>12</v>
      </c>
      <c r="F71" s="48" t="s">
        <v>181</v>
      </c>
      <c r="G71" s="48" t="s">
        <v>182</v>
      </c>
    </row>
    <row r="72" spans="2:7" ht="36" customHeight="1" x14ac:dyDescent="0.25">
      <c r="B72" s="47"/>
      <c r="C72" s="42" t="s">
        <v>183</v>
      </c>
      <c r="D72" s="43" t="s">
        <v>12</v>
      </c>
      <c r="E72" s="43" t="s">
        <v>12</v>
      </c>
      <c r="F72" s="49" t="s">
        <v>184</v>
      </c>
      <c r="G72" s="49" t="s">
        <v>185</v>
      </c>
    </row>
    <row r="73" spans="2:7" ht="36" customHeight="1" x14ac:dyDescent="0.25">
      <c r="B73" s="47"/>
      <c r="C73" s="40" t="s">
        <v>186</v>
      </c>
      <c r="D73" s="41" t="s">
        <v>12</v>
      </c>
      <c r="E73" s="41" t="s">
        <v>12</v>
      </c>
      <c r="F73" s="48" t="s">
        <v>187</v>
      </c>
      <c r="G73" s="48" t="s">
        <v>188</v>
      </c>
    </row>
    <row r="74" spans="2:7" ht="36" customHeight="1" x14ac:dyDescent="0.25">
      <c r="B74" s="47"/>
      <c r="C74" s="42" t="s">
        <v>189</v>
      </c>
      <c r="D74" s="43" t="s">
        <v>12</v>
      </c>
      <c r="E74" s="43" t="s">
        <v>12</v>
      </c>
      <c r="F74" s="49" t="s">
        <v>190</v>
      </c>
      <c r="G74" s="49" t="s">
        <v>191</v>
      </c>
    </row>
    <row r="75" spans="2:7" ht="21.95" customHeight="1" x14ac:dyDescent="0.25">
      <c r="B75" s="47"/>
      <c r="C75" s="44" t="s">
        <v>123</v>
      </c>
      <c r="D75" s="45">
        <f>COUNTIF(D61:D74,"نعم")+COUNTIF(D61:D74,"Yes")</f>
        <v>14</v>
      </c>
      <c r="E75" s="45">
        <f>COUNTIF(E61:E74,"نعم")+COUNTIF(E61:E74,"Yes")</f>
        <v>14</v>
      </c>
      <c r="F75" s="50"/>
      <c r="G75" s="50"/>
    </row>
    <row r="77" spans="2:7" ht="21.95" customHeight="1" x14ac:dyDescent="0.25">
      <c r="B77" s="51" t="s">
        <v>336</v>
      </c>
      <c r="C77" s="46"/>
      <c r="D77" s="46"/>
      <c r="E77" s="46"/>
      <c r="F77" s="46"/>
      <c r="G77" s="46"/>
    </row>
    <row r="78" spans="2:7" ht="36" customHeight="1" x14ac:dyDescent="0.25">
      <c r="B78" s="47"/>
      <c r="C78" s="42" t="s">
        <v>193</v>
      </c>
      <c r="D78" s="43" t="s">
        <v>12</v>
      </c>
      <c r="E78" s="43" t="s">
        <v>12</v>
      </c>
      <c r="F78" s="49" t="s">
        <v>194</v>
      </c>
      <c r="G78" s="49" t="s">
        <v>195</v>
      </c>
    </row>
    <row r="79" spans="2:7" ht="36" customHeight="1" x14ac:dyDescent="0.25">
      <c r="B79" s="47"/>
      <c r="C79" s="40" t="s">
        <v>196</v>
      </c>
      <c r="D79" s="41" t="s">
        <v>12</v>
      </c>
      <c r="E79" s="41" t="s">
        <v>12</v>
      </c>
      <c r="F79" s="48" t="s">
        <v>197</v>
      </c>
      <c r="G79" s="48" t="s">
        <v>198</v>
      </c>
    </row>
    <row r="80" spans="2:7" ht="50.25" customHeight="1" x14ac:dyDescent="0.25">
      <c r="B80" s="47"/>
      <c r="C80" s="42" t="s">
        <v>199</v>
      </c>
      <c r="D80" s="43" t="s">
        <v>12</v>
      </c>
      <c r="E80" s="43" t="s">
        <v>12</v>
      </c>
      <c r="F80" s="49" t="s">
        <v>200</v>
      </c>
      <c r="G80" s="49" t="s">
        <v>201</v>
      </c>
    </row>
    <row r="81" spans="2:7" ht="36" customHeight="1" x14ac:dyDescent="0.25">
      <c r="B81" s="47"/>
      <c r="C81" s="40" t="s">
        <v>202</v>
      </c>
      <c r="D81" s="41" t="s">
        <v>12</v>
      </c>
      <c r="E81" s="41" t="s">
        <v>12</v>
      </c>
      <c r="F81" s="48" t="s">
        <v>203</v>
      </c>
      <c r="G81" s="48" t="s">
        <v>204</v>
      </c>
    </row>
    <row r="82" spans="2:7" ht="36" customHeight="1" x14ac:dyDescent="0.25">
      <c r="B82" s="47"/>
      <c r="C82" s="42" t="s">
        <v>205</v>
      </c>
      <c r="D82" s="43" t="s">
        <v>12</v>
      </c>
      <c r="E82" s="43" t="s">
        <v>12</v>
      </c>
      <c r="F82" s="49" t="s">
        <v>206</v>
      </c>
      <c r="G82" s="49" t="s">
        <v>207</v>
      </c>
    </row>
    <row r="83" spans="2:7" ht="36" customHeight="1" x14ac:dyDescent="0.25">
      <c r="B83" s="47"/>
      <c r="C83" s="40" t="s">
        <v>208</v>
      </c>
      <c r="D83" s="41" t="s">
        <v>12</v>
      </c>
      <c r="E83" s="41" t="s">
        <v>12</v>
      </c>
      <c r="F83" s="48" t="s">
        <v>209</v>
      </c>
      <c r="G83" s="48" t="s">
        <v>210</v>
      </c>
    </row>
    <row r="84" spans="2:7" ht="36" customHeight="1" x14ac:dyDescent="0.25">
      <c r="B84" s="47"/>
      <c r="C84" s="42" t="s">
        <v>211</v>
      </c>
      <c r="D84" s="43" t="s">
        <v>12</v>
      </c>
      <c r="E84" s="43" t="s">
        <v>12</v>
      </c>
      <c r="F84" s="49" t="s">
        <v>212</v>
      </c>
      <c r="G84" s="49" t="s">
        <v>213</v>
      </c>
    </row>
    <row r="85" spans="2:7" ht="51" customHeight="1" x14ac:dyDescent="0.25">
      <c r="B85" s="47"/>
      <c r="C85" s="40" t="s">
        <v>214</v>
      </c>
      <c r="D85" s="41" t="s">
        <v>12</v>
      </c>
      <c r="E85" s="41" t="s">
        <v>12</v>
      </c>
      <c r="F85" s="48" t="s">
        <v>215</v>
      </c>
      <c r="G85" s="48" t="s">
        <v>216</v>
      </c>
    </row>
    <row r="86" spans="2:7" ht="36" customHeight="1" x14ac:dyDescent="0.25">
      <c r="B86" s="47"/>
      <c r="C86" s="42" t="s">
        <v>217</v>
      </c>
      <c r="D86" s="43" t="s">
        <v>12</v>
      </c>
      <c r="E86" s="43" t="s">
        <v>12</v>
      </c>
      <c r="F86" s="49" t="s">
        <v>218</v>
      </c>
      <c r="G86" s="49" t="s">
        <v>219</v>
      </c>
    </row>
    <row r="87" spans="2:7" ht="36" customHeight="1" x14ac:dyDescent="0.25">
      <c r="B87" s="47"/>
      <c r="C87" s="40" t="s">
        <v>220</v>
      </c>
      <c r="D87" s="41" t="s">
        <v>12</v>
      </c>
      <c r="E87" s="41" t="s">
        <v>12</v>
      </c>
      <c r="F87" s="48" t="s">
        <v>221</v>
      </c>
      <c r="G87" s="48" t="s">
        <v>222</v>
      </c>
    </row>
    <row r="88" spans="2:7" ht="36" customHeight="1" x14ac:dyDescent="0.25">
      <c r="B88" s="47"/>
      <c r="C88" s="42" t="s">
        <v>223</v>
      </c>
      <c r="D88" s="43" t="s">
        <v>12</v>
      </c>
      <c r="E88" s="43" t="s">
        <v>12</v>
      </c>
      <c r="F88" s="49" t="s">
        <v>224</v>
      </c>
      <c r="G88" s="49" t="s">
        <v>225</v>
      </c>
    </row>
    <row r="89" spans="2:7" ht="36" customHeight="1" x14ac:dyDescent="0.25">
      <c r="B89" s="47"/>
      <c r="C89" s="40" t="s">
        <v>226</v>
      </c>
      <c r="D89" s="41" t="s">
        <v>12</v>
      </c>
      <c r="E89" s="41" t="s">
        <v>12</v>
      </c>
      <c r="F89" s="48" t="s">
        <v>227</v>
      </c>
      <c r="G89" s="48" t="s">
        <v>228</v>
      </c>
    </row>
    <row r="90" spans="2:7" ht="36" customHeight="1" x14ac:dyDescent="0.25">
      <c r="B90" s="47"/>
      <c r="C90" s="42" t="s">
        <v>229</v>
      </c>
      <c r="D90" s="43" t="s">
        <v>12</v>
      </c>
      <c r="E90" s="43" t="s">
        <v>12</v>
      </c>
      <c r="F90" s="49" t="s">
        <v>230</v>
      </c>
      <c r="G90" s="49" t="s">
        <v>231</v>
      </c>
    </row>
    <row r="91" spans="2:7" ht="36" customHeight="1" x14ac:dyDescent="0.25">
      <c r="B91" s="47"/>
      <c r="C91" s="40" t="s">
        <v>232</v>
      </c>
      <c r="D91" s="41" t="s">
        <v>12</v>
      </c>
      <c r="E91" s="41" t="s">
        <v>12</v>
      </c>
      <c r="F91" s="48" t="s">
        <v>233</v>
      </c>
      <c r="G91" s="48" t="s">
        <v>234</v>
      </c>
    </row>
    <row r="92" spans="2:7" ht="36" customHeight="1" x14ac:dyDescent="0.25">
      <c r="B92" s="47"/>
      <c r="C92" s="42" t="s">
        <v>235</v>
      </c>
      <c r="D92" s="43" t="s">
        <v>12</v>
      </c>
      <c r="E92" s="43" t="s">
        <v>12</v>
      </c>
      <c r="F92" s="49" t="s">
        <v>236</v>
      </c>
      <c r="G92" s="49" t="s">
        <v>237</v>
      </c>
    </row>
    <row r="93" spans="2:7" ht="36" customHeight="1" x14ac:dyDescent="0.25">
      <c r="B93" s="47"/>
      <c r="C93" s="40" t="s">
        <v>238</v>
      </c>
      <c r="D93" s="41" t="s">
        <v>12</v>
      </c>
      <c r="E93" s="41" t="s">
        <v>12</v>
      </c>
      <c r="F93" s="48" t="s">
        <v>239</v>
      </c>
      <c r="G93" s="48" t="s">
        <v>240</v>
      </c>
    </row>
    <row r="94" spans="2:7" ht="36" customHeight="1" x14ac:dyDescent="0.25">
      <c r="B94" s="47"/>
      <c r="C94" s="42" t="s">
        <v>241</v>
      </c>
      <c r="D94" s="43" t="s">
        <v>12</v>
      </c>
      <c r="E94" s="43" t="s">
        <v>12</v>
      </c>
      <c r="F94" s="49" t="s">
        <v>242</v>
      </c>
      <c r="G94" s="49" t="s">
        <v>243</v>
      </c>
    </row>
    <row r="95" spans="2:7" ht="36" customHeight="1" x14ac:dyDescent="0.25">
      <c r="B95" s="47"/>
      <c r="C95" s="40" t="s">
        <v>244</v>
      </c>
      <c r="D95" s="41" t="s">
        <v>12</v>
      </c>
      <c r="E95" s="41" t="s">
        <v>12</v>
      </c>
      <c r="F95" s="48" t="s">
        <v>245</v>
      </c>
      <c r="G95" s="48" t="s">
        <v>246</v>
      </c>
    </row>
    <row r="96" spans="2:7" ht="36" customHeight="1" x14ac:dyDescent="0.25">
      <c r="B96" s="47"/>
      <c r="C96" s="42" t="s">
        <v>247</v>
      </c>
      <c r="D96" s="43" t="s">
        <v>12</v>
      </c>
      <c r="E96" s="43" t="s">
        <v>12</v>
      </c>
      <c r="F96" s="49" t="s">
        <v>248</v>
      </c>
      <c r="G96" s="49" t="s">
        <v>249</v>
      </c>
    </row>
    <row r="97" spans="2:7" ht="36" customHeight="1" x14ac:dyDescent="0.25">
      <c r="B97" s="47"/>
      <c r="C97" s="40" t="s">
        <v>250</v>
      </c>
      <c r="D97" s="41" t="s">
        <v>12</v>
      </c>
      <c r="E97" s="41" t="s">
        <v>12</v>
      </c>
      <c r="F97" s="48" t="s">
        <v>251</v>
      </c>
      <c r="G97" s="48" t="s">
        <v>252</v>
      </c>
    </row>
    <row r="98" spans="2:7" ht="36" customHeight="1" x14ac:dyDescent="0.25">
      <c r="B98" s="47"/>
      <c r="C98" s="42" t="s">
        <v>253</v>
      </c>
      <c r="D98" s="43" t="s">
        <v>12</v>
      </c>
      <c r="E98" s="43" t="s">
        <v>12</v>
      </c>
      <c r="F98" s="49" t="s">
        <v>254</v>
      </c>
      <c r="G98" s="49" t="s">
        <v>255</v>
      </c>
    </row>
    <row r="99" spans="2:7" ht="54.75" customHeight="1" x14ac:dyDescent="0.25">
      <c r="B99" s="47"/>
      <c r="C99" s="40" t="s">
        <v>256</v>
      </c>
      <c r="D99" s="41" t="s">
        <v>12</v>
      </c>
      <c r="E99" s="41" t="s">
        <v>12</v>
      </c>
      <c r="F99" s="48" t="s">
        <v>257</v>
      </c>
      <c r="G99" s="48" t="s">
        <v>258</v>
      </c>
    </row>
    <row r="100" spans="2:7" ht="36" customHeight="1" x14ac:dyDescent="0.25">
      <c r="B100" s="47"/>
      <c r="C100" s="42" t="s">
        <v>259</v>
      </c>
      <c r="D100" s="43" t="s">
        <v>12</v>
      </c>
      <c r="E100" s="43" t="s">
        <v>12</v>
      </c>
      <c r="F100" s="49" t="s">
        <v>260</v>
      </c>
      <c r="G100" s="49" t="s">
        <v>261</v>
      </c>
    </row>
    <row r="101" spans="2:7" ht="36" customHeight="1" x14ac:dyDescent="0.25">
      <c r="B101" s="47"/>
      <c r="C101" s="40" t="s">
        <v>262</v>
      </c>
      <c r="D101" s="41" t="s">
        <v>12</v>
      </c>
      <c r="E101" s="41" t="s">
        <v>12</v>
      </c>
      <c r="F101" s="48" t="s">
        <v>263</v>
      </c>
      <c r="G101" s="48" t="s">
        <v>264</v>
      </c>
    </row>
    <row r="102" spans="2:7" ht="36" customHeight="1" x14ac:dyDescent="0.25">
      <c r="B102" s="47"/>
      <c r="C102" s="42" t="s">
        <v>265</v>
      </c>
      <c r="D102" s="43" t="s">
        <v>12</v>
      </c>
      <c r="E102" s="43" t="s">
        <v>12</v>
      </c>
      <c r="F102" s="49" t="s">
        <v>266</v>
      </c>
      <c r="G102" s="49" t="s">
        <v>267</v>
      </c>
    </row>
    <row r="103" spans="2:7" ht="36" customHeight="1" x14ac:dyDescent="0.25">
      <c r="B103" s="47"/>
      <c r="C103" s="40" t="s">
        <v>268</v>
      </c>
      <c r="D103" s="41" t="s">
        <v>12</v>
      </c>
      <c r="E103" s="41" t="s">
        <v>12</v>
      </c>
      <c r="F103" s="48" t="s">
        <v>269</v>
      </c>
      <c r="G103" s="48" t="s">
        <v>270</v>
      </c>
    </row>
    <row r="104" spans="2:7" ht="36" customHeight="1" x14ac:dyDescent="0.25">
      <c r="B104" s="47"/>
      <c r="C104" s="42" t="s">
        <v>271</v>
      </c>
      <c r="D104" s="43" t="s">
        <v>12</v>
      </c>
      <c r="E104" s="43" t="s">
        <v>12</v>
      </c>
      <c r="F104" s="49" t="s">
        <v>272</v>
      </c>
      <c r="G104" s="49" t="s">
        <v>273</v>
      </c>
    </row>
    <row r="105" spans="2:7" ht="46.5" customHeight="1" x14ac:dyDescent="0.25">
      <c r="B105" s="47"/>
      <c r="C105" s="40" t="s">
        <v>274</v>
      </c>
      <c r="D105" s="41" t="s">
        <v>12</v>
      </c>
      <c r="E105" s="41" t="s">
        <v>12</v>
      </c>
      <c r="F105" s="48" t="s">
        <v>275</v>
      </c>
      <c r="G105" s="48" t="s">
        <v>276</v>
      </c>
    </row>
    <row r="106" spans="2:7" ht="51.75" customHeight="1" x14ac:dyDescent="0.25">
      <c r="B106" s="47"/>
      <c r="C106" s="42" t="s">
        <v>277</v>
      </c>
      <c r="D106" s="43" t="s">
        <v>12</v>
      </c>
      <c r="E106" s="43" t="s">
        <v>12</v>
      </c>
      <c r="F106" s="49" t="s">
        <v>278</v>
      </c>
      <c r="G106" s="49" t="s">
        <v>279</v>
      </c>
    </row>
    <row r="107" spans="2:7" ht="36" customHeight="1" x14ac:dyDescent="0.25">
      <c r="B107" s="47"/>
      <c r="C107" s="40" t="s">
        <v>280</v>
      </c>
      <c r="D107" s="41" t="s">
        <v>12</v>
      </c>
      <c r="E107" s="41" t="s">
        <v>12</v>
      </c>
      <c r="F107" s="48" t="s">
        <v>281</v>
      </c>
      <c r="G107" s="48" t="s">
        <v>282</v>
      </c>
    </row>
    <row r="108" spans="2:7" ht="36" customHeight="1" x14ac:dyDescent="0.25">
      <c r="B108" s="47"/>
      <c r="C108" s="42" t="s">
        <v>283</v>
      </c>
      <c r="D108" s="43" t="s">
        <v>12</v>
      </c>
      <c r="E108" s="43" t="s">
        <v>12</v>
      </c>
      <c r="F108" s="49" t="s">
        <v>284</v>
      </c>
      <c r="G108" s="49" t="s">
        <v>285</v>
      </c>
    </row>
    <row r="109" spans="2:7" ht="36" customHeight="1" x14ac:dyDescent="0.25">
      <c r="B109" s="47"/>
      <c r="C109" s="40" t="s">
        <v>286</v>
      </c>
      <c r="D109" s="41" t="s">
        <v>12</v>
      </c>
      <c r="E109" s="41" t="s">
        <v>12</v>
      </c>
      <c r="F109" s="48" t="s">
        <v>287</v>
      </c>
      <c r="G109" s="48" t="s">
        <v>288</v>
      </c>
    </row>
    <row r="110" spans="2:7" ht="36" customHeight="1" x14ac:dyDescent="0.25">
      <c r="B110" s="47"/>
      <c r="C110" s="42" t="s">
        <v>289</v>
      </c>
      <c r="D110" s="43" t="s">
        <v>12</v>
      </c>
      <c r="E110" s="43" t="s">
        <v>12</v>
      </c>
      <c r="F110" s="49" t="s">
        <v>290</v>
      </c>
      <c r="G110" s="49" t="s">
        <v>291</v>
      </c>
    </row>
    <row r="111" spans="2:7" ht="36" customHeight="1" x14ac:dyDescent="0.25">
      <c r="B111" s="47"/>
      <c r="C111" s="40" t="s">
        <v>292</v>
      </c>
      <c r="D111" s="41" t="s">
        <v>12</v>
      </c>
      <c r="E111" s="41" t="s">
        <v>12</v>
      </c>
      <c r="F111" s="48" t="s">
        <v>293</v>
      </c>
      <c r="G111" s="48" t="s">
        <v>294</v>
      </c>
    </row>
    <row r="112" spans="2:7" ht="21.95" customHeight="1" x14ac:dyDescent="0.25">
      <c r="B112" s="47"/>
      <c r="C112" s="44" t="s">
        <v>123</v>
      </c>
      <c r="D112" s="45">
        <f>COUNTIF(D78:D111,"نعم")+COUNTIF(D78:D111,"Yes")</f>
        <v>34</v>
      </c>
      <c r="E112" s="45">
        <f>COUNTIF(E78:E111,"نعم")+COUNTIF(E78:E111,"Yes")</f>
        <v>34</v>
      </c>
      <c r="F112" s="50"/>
      <c r="G112" s="50"/>
    </row>
  </sheetData>
  <dataValidations count="1">
    <dataValidation type="list" allowBlank="1" sqref="D10:D46 D50:D57 D61:D74 D78:D111 E10:E46 E50:E57 E61:E74 E78:E111" xr:uid="{00000000-0002-0000-0200-000000000000}">
      <formula1>"نعم,لا,Yes,No"</formula1>
    </dataValidation>
  </dataValidation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8"/>
  <sheetViews>
    <sheetView rightToLeft="1" workbookViewId="0">
      <selection activeCell="F19" sqref="F19"/>
    </sheetView>
  </sheetViews>
  <sheetFormatPr defaultRowHeight="14.25" x14ac:dyDescent="0.2"/>
  <cols>
    <col min="1" max="1" width="4" customWidth="1"/>
    <col min="2" max="2" width="28" customWidth="1"/>
    <col min="3" max="3" width="18" customWidth="1"/>
    <col min="4" max="6" width="22" customWidth="1"/>
    <col min="7" max="7" width="26" customWidth="1"/>
  </cols>
  <sheetData>
    <row r="1" spans="2:7" ht="18.75" x14ac:dyDescent="0.3">
      <c r="B1" s="2" t="s">
        <v>295</v>
      </c>
    </row>
    <row r="2" spans="2:7" x14ac:dyDescent="0.2">
      <c r="B2" s="3"/>
    </row>
    <row r="4" spans="2:7" ht="15" x14ac:dyDescent="0.25">
      <c r="B4" s="1" t="s">
        <v>296</v>
      </c>
    </row>
    <row r="6" spans="2:7" ht="27.95" customHeight="1" x14ac:dyDescent="0.2">
      <c r="B6" s="4" t="s">
        <v>297</v>
      </c>
      <c r="C6" s="4" t="s">
        <v>298</v>
      </c>
      <c r="D6" s="4" t="s">
        <v>299</v>
      </c>
      <c r="E6" s="4" t="s">
        <v>300</v>
      </c>
      <c r="F6" s="4" t="s">
        <v>301</v>
      </c>
      <c r="G6" s="4" t="s">
        <v>302</v>
      </c>
    </row>
    <row r="7" spans="2:7" ht="21.95" customHeight="1" x14ac:dyDescent="0.2">
      <c r="B7" s="5" t="s">
        <v>10</v>
      </c>
      <c r="C7" s="10">
        <v>37</v>
      </c>
      <c r="D7" s="6">
        <f>'بيان التطبيق (SoA)'!D47</f>
        <v>37</v>
      </c>
      <c r="E7" s="11">
        <f>D7/C7</f>
        <v>1</v>
      </c>
      <c r="F7" s="6">
        <f>'بيان التطبيق (SoA)'!E47</f>
        <v>37</v>
      </c>
      <c r="G7" s="11">
        <f>F7/D7</f>
        <v>1</v>
      </c>
    </row>
    <row r="8" spans="2:7" ht="21.95" customHeight="1" x14ac:dyDescent="0.2">
      <c r="B8" s="7" t="s">
        <v>124</v>
      </c>
      <c r="C8" s="12">
        <v>8</v>
      </c>
      <c r="D8" s="8">
        <f>'بيان التطبيق (SoA)'!D58</f>
        <v>8</v>
      </c>
      <c r="E8" s="13">
        <f>D8/C8</f>
        <v>1</v>
      </c>
      <c r="F8" s="8">
        <f>'بيان التطبيق (SoA)'!E58</f>
        <v>8</v>
      </c>
      <c r="G8" s="13">
        <f>F8/D8</f>
        <v>1</v>
      </c>
    </row>
    <row r="9" spans="2:7" ht="21.95" customHeight="1" x14ac:dyDescent="0.2">
      <c r="B9" s="5" t="s">
        <v>149</v>
      </c>
      <c r="C9" s="10">
        <v>14</v>
      </c>
      <c r="D9" s="6">
        <f>'بيان التطبيق (SoA)'!D75</f>
        <v>14</v>
      </c>
      <c r="E9" s="11">
        <f>D9/C9</f>
        <v>1</v>
      </c>
      <c r="F9" s="6">
        <f>'بيان التطبيق (SoA)'!E75</f>
        <v>14</v>
      </c>
      <c r="G9" s="11">
        <f>F9/D9</f>
        <v>1</v>
      </c>
    </row>
    <row r="10" spans="2:7" ht="21.95" customHeight="1" x14ac:dyDescent="0.2">
      <c r="B10" s="7" t="s">
        <v>192</v>
      </c>
      <c r="C10" s="12">
        <v>34</v>
      </c>
      <c r="D10" s="8">
        <f>'بيان التطبيق (SoA)'!D112</f>
        <v>34</v>
      </c>
      <c r="E10" s="13">
        <f>D10/C10</f>
        <v>1</v>
      </c>
      <c r="F10" s="8">
        <f>'بيان التطبيق (SoA)'!E112</f>
        <v>34</v>
      </c>
      <c r="G10" s="13">
        <f>F10/D10</f>
        <v>1</v>
      </c>
    </row>
    <row r="11" spans="2:7" ht="24" customHeight="1" x14ac:dyDescent="0.2">
      <c r="B11" s="14" t="s">
        <v>303</v>
      </c>
      <c r="C11" s="9">
        <f>SUM(C7:C10)</f>
        <v>93</v>
      </c>
      <c r="D11" s="9">
        <f>SUM(D7:D10)</f>
        <v>93</v>
      </c>
      <c r="E11" s="15">
        <f>D11/C11</f>
        <v>1</v>
      </c>
      <c r="F11" s="9">
        <f>SUM(F7:F10)</f>
        <v>93</v>
      </c>
      <c r="G11" s="15">
        <f>F11/D11</f>
        <v>1</v>
      </c>
    </row>
    <row r="16" spans="2:7" ht="15" x14ac:dyDescent="0.25">
      <c r="B16" s="1" t="s">
        <v>304</v>
      </c>
    </row>
    <row r="18" spans="2:4" ht="24" customHeight="1" x14ac:dyDescent="0.2">
      <c r="B18" s="4" t="s">
        <v>305</v>
      </c>
      <c r="C18" s="4" t="s">
        <v>306</v>
      </c>
      <c r="D18" s="4" t="s">
        <v>307</v>
      </c>
    </row>
    <row r="19" spans="2:4" ht="20.100000000000001" customHeight="1" x14ac:dyDescent="0.2">
      <c r="B19" s="16" t="s">
        <v>308</v>
      </c>
      <c r="C19" s="17">
        <f>D10</f>
        <v>34</v>
      </c>
      <c r="D19" s="17">
        <f>F10</f>
        <v>34</v>
      </c>
    </row>
    <row r="20" spans="2:4" ht="20.100000000000001" customHeight="1" x14ac:dyDescent="0.2">
      <c r="B20" s="16" t="s">
        <v>309</v>
      </c>
      <c r="C20" s="17">
        <f>D9</f>
        <v>14</v>
      </c>
      <c r="D20" s="17">
        <f>F9</f>
        <v>14</v>
      </c>
    </row>
    <row r="21" spans="2:4" ht="20.100000000000001" customHeight="1" x14ac:dyDescent="0.2">
      <c r="B21" s="16" t="s">
        <v>310</v>
      </c>
      <c r="C21" s="17">
        <f>D8</f>
        <v>8</v>
      </c>
      <c r="D21" s="17">
        <f>F8</f>
        <v>8</v>
      </c>
    </row>
    <row r="22" spans="2:4" ht="20.100000000000001" customHeight="1" x14ac:dyDescent="0.2">
      <c r="B22" s="16" t="s">
        <v>311</v>
      </c>
      <c r="C22" s="17">
        <f>D7</f>
        <v>37</v>
      </c>
      <c r="D22" s="17">
        <f>F7</f>
        <v>37</v>
      </c>
    </row>
    <row r="24" spans="2:4" ht="15" x14ac:dyDescent="0.25">
      <c r="B24" s="1" t="s">
        <v>312</v>
      </c>
    </row>
    <row r="26" spans="2:4" ht="24" customHeight="1" x14ac:dyDescent="0.2">
      <c r="B26" s="4" t="s">
        <v>305</v>
      </c>
      <c r="C26" s="4" t="s">
        <v>313</v>
      </c>
      <c r="D26" s="4" t="s">
        <v>314</v>
      </c>
    </row>
    <row r="27" spans="2:4" ht="20.100000000000001" customHeight="1" x14ac:dyDescent="0.2">
      <c r="B27" s="16" t="s">
        <v>311</v>
      </c>
      <c r="C27" s="18">
        <f>G7</f>
        <v>1</v>
      </c>
      <c r="D27" s="18">
        <f>E7</f>
        <v>1</v>
      </c>
    </row>
    <row r="28" spans="2:4" ht="20.100000000000001" customHeight="1" x14ac:dyDescent="0.2">
      <c r="B28" s="16" t="s">
        <v>310</v>
      </c>
      <c r="C28" s="18">
        <f>G8</f>
        <v>1</v>
      </c>
      <c r="D28" s="18">
        <f>E8</f>
        <v>1</v>
      </c>
    </row>
    <row r="29" spans="2:4" ht="20.100000000000001" customHeight="1" x14ac:dyDescent="0.2">
      <c r="B29" s="16" t="s">
        <v>309</v>
      </c>
      <c r="C29" s="18">
        <f>G9</f>
        <v>1</v>
      </c>
      <c r="D29" s="18">
        <f>E9</f>
        <v>1</v>
      </c>
    </row>
    <row r="30" spans="2:4" ht="20.100000000000001" customHeight="1" x14ac:dyDescent="0.2">
      <c r="B30" s="16" t="s">
        <v>308</v>
      </c>
      <c r="C30" s="18">
        <f>G10</f>
        <v>1</v>
      </c>
      <c r="D30" s="18">
        <f>E10</f>
        <v>1</v>
      </c>
    </row>
    <row r="32" spans="2:4" ht="15" x14ac:dyDescent="0.25">
      <c r="B32" s="1" t="s">
        <v>315</v>
      </c>
    </row>
    <row r="34" spans="2:4" ht="24" customHeight="1" x14ac:dyDescent="0.2">
      <c r="B34" s="4" t="s">
        <v>305</v>
      </c>
      <c r="C34" s="4" t="s">
        <v>313</v>
      </c>
      <c r="D34" s="4" t="s">
        <v>314</v>
      </c>
    </row>
    <row r="35" spans="2:4" ht="20.100000000000001" customHeight="1" x14ac:dyDescent="0.2">
      <c r="B35" s="16" t="s">
        <v>311</v>
      </c>
      <c r="C35" s="18">
        <f>G7</f>
        <v>1</v>
      </c>
      <c r="D35" s="18">
        <f>E7</f>
        <v>1</v>
      </c>
    </row>
    <row r="36" spans="2:4" ht="20.100000000000001" customHeight="1" x14ac:dyDescent="0.2">
      <c r="B36" s="16" t="s">
        <v>310</v>
      </c>
      <c r="C36" s="18">
        <f>G8</f>
        <v>1</v>
      </c>
      <c r="D36" s="18">
        <f>E8</f>
        <v>1</v>
      </c>
    </row>
    <row r="37" spans="2:4" ht="20.100000000000001" customHeight="1" x14ac:dyDescent="0.2">
      <c r="B37" s="16" t="s">
        <v>309</v>
      </c>
      <c r="C37" s="18">
        <f>G9</f>
        <v>1</v>
      </c>
      <c r="D37" s="18">
        <f>E9</f>
        <v>1</v>
      </c>
    </row>
    <row r="38" spans="2:4" ht="20.100000000000001" customHeight="1" x14ac:dyDescent="0.2">
      <c r="B38" s="16" t="s">
        <v>308</v>
      </c>
      <c r="C38" s="18">
        <f>G10</f>
        <v>1</v>
      </c>
      <c r="D38" s="18">
        <f>E10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بيانات الإصدار والاعتماد</vt:lpstr>
      <vt:lpstr>بيان التطبيق (SoA)</vt:lpstr>
      <vt:lpstr>لوحة المؤشرات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AL-Ameri</cp:lastModifiedBy>
  <dcterms:created xsi:type="dcterms:W3CDTF">2026-09-12T21:59:47Z</dcterms:created>
  <dcterms:modified xsi:type="dcterms:W3CDTF">2026-09-12T23:44:45Z</dcterms:modified>
</cp:coreProperties>
</file>