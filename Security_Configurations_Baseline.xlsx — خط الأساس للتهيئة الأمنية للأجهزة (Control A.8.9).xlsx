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G:\fourth CS\ملفات مشؤوع نزم معلومات\isms\14\"/>
    </mc:Choice>
  </mc:AlternateContent>
  <xr:revisionPtr revIDLastSave="0" documentId="13_ncr:1_{16123AF6-FEE2-4DC3-9AAE-9CF63873670E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Configuration Baseline" sheetId="1" r:id="rId1"/>
    <sheet name="Guidance" sheetId="2" r:id="rId2"/>
  </sheets>
  <calcPr calcId="181029"/>
</workbook>
</file>

<file path=xl/calcChain.xml><?xml version="1.0" encoding="utf-8"?>
<calcChain xmlns="http://schemas.openxmlformats.org/spreadsheetml/2006/main">
  <c r="B22" i="1" l="1"/>
  <c r="B21" i="1"/>
  <c r="B20" i="1"/>
  <c r="B19" i="1"/>
  <c r="B18" i="1"/>
</calcChain>
</file>

<file path=xl/sharedStrings.xml><?xml version="1.0" encoding="utf-8"?>
<sst xmlns="http://schemas.openxmlformats.org/spreadsheetml/2006/main" count="179" uniqueCount="132">
  <si>
    <t>نوع النظام / الأصل (System / Asset Type):</t>
  </si>
  <si>
    <t>حواسيب الموظفين المحمولة (Windows 11 Laptop - HP EliteBook - بنك الآفاق الرقمية)</t>
  </si>
  <si>
    <t>المرجع (Reference):</t>
  </si>
  <si>
    <t>DHB-BL-W11-01</t>
  </si>
  <si>
    <t>معتمد من (Approved By):</t>
  </si>
  <si>
    <t>د. نورة القحطاني (الرئيس التنفيذي) / أ. سارة الحربي (CISO) / م. فهد العتيبي (CIO)</t>
  </si>
  <si>
    <t>تاريخ آخر مراجعة (Date of Last Review):</t>
  </si>
  <si>
    <t>عنصر التهيئة الأمنية
(Configuration Item)</t>
  </si>
  <si>
    <t>الإعداد المطلوب / المعياري
(Required Setting)</t>
  </si>
  <si>
    <t>المبرر والهدف الأمني
(Rationale)</t>
  </si>
  <si>
    <t>طريقة التحقق والامتثال
(Compliance Method)</t>
  </si>
  <si>
    <t>الجهة المسؤولة
(Responsible Party)</t>
  </si>
  <si>
    <t>تاريخ التطبيق
(Date Applied)</t>
  </si>
  <si>
    <t>المراجعة القادمة
(Next Review Date)</t>
  </si>
  <si>
    <t>الاستثناءات إن وجدت
(Exception if any)</t>
  </si>
  <si>
    <t>مرجع الضابط الأمني
(Control Reference)</t>
  </si>
  <si>
    <t>مستوى الأثر الأمني
(Security Impact Level)</t>
  </si>
  <si>
    <t>نتيجة التدقيق
(Audit Outcome)</t>
  </si>
  <si>
    <t>ملاحظات وسياق بنك الآفاق الرقمية
(Notes)</t>
  </si>
  <si>
    <t>تشفير الأقراص (BitLocker Encryption)</t>
  </si>
  <si>
    <t>تفعيل BitLocker على محرك النظام ومحركات البيانات مع TPM 2.0 ومفتاح AES-256</t>
  </si>
  <si>
    <t>حماية بيانات العملاء وسجلات البنك في حال فقدان أو سرقة الحاسوب المحمول</t>
  </si>
  <si>
    <t>سياسة الامتثال في Microsoft Intune</t>
  </si>
  <si>
    <t>قسم الدعم الفني (IT Support)</t>
  </si>
  <si>
    <t>2026-03-01</t>
  </si>
  <si>
    <t>2026-10-01</t>
  </si>
  <si>
    <t>لا يوجد</t>
  </si>
  <si>
    <t>ISO 27001 A.8.9</t>
  </si>
  <si>
    <t>عالي</t>
  </si>
  <si>
    <t>مطابق</t>
  </si>
  <si>
    <t>يجب تفعيل TPM في BIOS. معالجة مباشرة لحادثة فقدان لابتوب مدير التسويق بالخارج لـ 2000 جهاز.</t>
  </si>
  <si>
    <t>تعطيل حساب المسؤول المحلي (Local Admin Account)</t>
  </si>
  <si>
    <t>تعطيل حساب المسؤول المحلي المدمج أو إعادة تسميته مع كلمة مرور مدارة عبر LAPS</t>
  </si>
  <si>
    <t>تقليل مخاطر تصعيد الصلاحيات وهجمات Pass-the-Hash الجانبية</t>
  </si>
  <si>
    <t>تدقيق سياسات المجموعات (GPO Audit)</t>
  </si>
  <si>
    <t>تطبيق الرواتب القديم (سيبيرولا) يتطلب صلاحية مسؤول محلي مؤقتاً لـ 3 أجهزة</t>
  </si>
  <si>
    <t>غير مطابق</t>
  </si>
  <si>
    <t>مجدول للإلغاء والسحب التلقائي في الربع الثالث 2026 بعد تحديث نظام الرواتب.</t>
  </si>
  <si>
    <t>جدار حماية ويندوز (Windows Firewall)</t>
  </si>
  <si>
    <t>تفعيل الجدار الناري لكافة الملفات (Domain, Private, Public)</t>
  </si>
  <si>
    <t>منع الوصول والاتصالات الشبكية غير المصرح بها</t>
  </si>
  <si>
    <t>مركز أمن ويندوز (Windows Security Centre)</t>
  </si>
  <si>
    <t>CIS MSFT-WS-1.2.0</t>
  </si>
  <si>
    <t>متوسط</t>
  </si>
  <si>
    <t>يتم تدقيق ومراجعة الاستثناءات والمنافذ المفتوحة بشكل ربع سنوي.</t>
  </si>
  <si>
    <t>تحديثات ويندوز (Windows Updates)</t>
  </si>
  <si>
    <t>تفعيل التحديثات التلقائية مع فترة تأجيل قصوى 7 أيام للتحديثات الأمنية</t>
  </si>
  <si>
    <t>ضمان ترقيع النظام والتطبيقات باستمرار ضد الثغرات الأمنية المكتشفة</t>
  </si>
  <si>
    <t>سجلات Intune و Windows Update</t>
  </si>
  <si>
    <t>يمنح فريق التطوير (25 مطوراً) مهلة تأجيل 14 يوماً لاختبار التوافق</t>
  </si>
  <si>
    <t>ISO 27001 A.8.8</t>
  </si>
  <si>
    <t>يطبق إلزامياً على كافة موظفي البنك باستثناء مهلة بيئة تطوير البرمجيات.</t>
  </si>
  <si>
    <t>تعطيل بروتوكول المشاركة القديم (SMBv1 Protocol)</t>
  </si>
  <si>
    <t>تعطيل بروتوكول SMBv1 نهائياً على كافة الأجهزة</t>
  </si>
  <si>
    <t>منع استغلال البروتوكول القديم في هجمات الفدية والتسلل عبر الشبكة</t>
  </si>
  <si>
    <t>فحص نصي عبر PowerShell / GPO Audit</t>
  </si>
  <si>
    <t>ISO 27001 A.8.20</t>
  </si>
  <si>
    <t>تم تأكيد الإلغاء الشامل عبر سياسة المجموعة على جميع أجهزة المقر والـ 25 فرعاً.</t>
  </si>
  <si>
    <t>مزامنة التوقيت المركزي (NTP Clock Synchronization)</t>
  </si>
  <si>
    <t>ربط ساعة الجهاز بخادم NTP المركزي المعتمد لبنك الآفاق الرقمية</t>
  </si>
  <si>
    <t>ضمان دقة توقيت السجلات والأدلة الجنائية وحل فارق الـ 7 دقائق السابق</t>
  </si>
  <si>
    <t>تدقيق خدمة Windows Time عبر GPO</t>
  </si>
  <si>
    <t>قسم الشبكات (Network Team)</t>
  </si>
  <si>
    <t>2026-08-01</t>
  </si>
  <si>
    <t>2026-11-01</t>
  </si>
  <si>
    <t>ISO 27001 A.8.17</t>
  </si>
  <si>
    <t>معالجة مباشرة للفجوة الجنائية الواردة بملحق دراسة الحالة في الضابط A.8.17.</t>
  </si>
  <si>
    <t>2026-05-01</t>
  </si>
  <si>
    <t>حظر مشاركة مجلدات الموارد البشرية (HR Share Restriction)</t>
  </si>
  <si>
    <t>قصر الوصول إلى مجلدات الرواتب وتقييمات الموظفين على موظفي HR حصراً</t>
  </si>
  <si>
    <t>معالجة حادثة وصول موظفي IT غير المصرح لمجلدات HR الموروثة من مشروع قديم</t>
  </si>
  <si>
    <t>تدقيق أذونات NTFS في Active Directory</t>
  </si>
  <si>
    <t>مسؤول الدليل النشط (AD Admin)</t>
  </si>
  <si>
    <t>2026-06-01</t>
  </si>
  <si>
    <t>2026-12-01</t>
  </si>
  <si>
    <t>ISO 27001 A.8.3</t>
  </si>
  <si>
    <t>تم إلغاء صلاحيات موظفي IT بالكامل وتطبيق مبدأ الحاجة إلى المعرفة (Need-to-Know).</t>
  </si>
  <si>
    <t>تأمين الاتصال عن بُعد (VPN &amp; MFA)</t>
  </si>
  <si>
    <t>إلزامية المصادقة متعددة العوامل (RSA SecurID) والاتصال المشفر عبر Cisco VPN</t>
  </si>
  <si>
    <t>تأمين وصول الموظفين المتنقلين والعمل عن بعد ومنع اختراق الجلسات</t>
  </si>
  <si>
    <t>سجلات خادم الوصول Cisco ASA VPN</t>
  </si>
  <si>
    <t>ISO 27001 A.6.7</t>
  </si>
  <si>
    <t>حظر الاتصال من خارج المملكة دون تصريح خطي مسبق من مدير أمن المعلومات.</t>
  </si>
  <si>
    <t>حظر مزامنة التخزين السحابي العام (Cloud Storage Sync)</t>
  </si>
  <si>
    <t>حظر مزامنة أو حفظ بيانات عملاء البنك مع حسابات التخزين السحابية الشخصية أو AWS</t>
  </si>
  <si>
    <t>سد فجوة الملحق A.5.23 والامتثال لنظام حماية البيانات الشخصية الصادر عن سدايا</t>
  </si>
  <si>
    <t>سياسات وكيل منع تسرب البيانات (DLP Agent)</t>
  </si>
  <si>
    <t>فريق أمن المعلومات (InfoSec)</t>
  </si>
  <si>
    <t>ISO 27001 A.5.23</t>
  </si>
  <si>
    <t>حظر رفع بيانات الإنتاج الحقيقية على سحابة AWS المخصصة فقط لبيئات الاختبار.</t>
  </si>
  <si>
    <t>عزل النواة وسلامة الذاكرة (Memory Integrity / VBS)</t>
  </si>
  <si>
    <t>تفعيل ميزة Virtualization-Based Security (VBS) وسلامة الذاكرة (HVCI)</t>
  </si>
  <si>
    <t>تحصين نواة نظام ويندوز ضد محاولات الحقن واستخراج بيانات الاعتماد</t>
  </si>
  <si>
    <t>إعدادات Microsoft Intune / Defender</t>
  </si>
  <si>
    <t>50 جهاز حاسوب قديم لا تدعم معالجاتها تقنية HVCI</t>
  </si>
  <si>
    <t>قيد الفحص</t>
  </si>
  <si>
    <t>مجدول لاستبدال الأجهزة ضمن خطة التحديث للعام المالي الحالي.</t>
  </si>
  <si>
    <t>إجمالي عناصر التهيئة (Total Items):</t>
  </si>
  <si>
    <t>العناصر المطابقة (Compliant):</t>
  </si>
  <si>
    <t>العناصر غير المطابقة (Non-Compliant):</t>
  </si>
  <si>
    <t>قيد الفحص والتحقق (Unchecked):</t>
  </si>
  <si>
    <t>نسبة الامتثال المعياري (% Compliance):</t>
  </si>
  <si>
    <t>الحقل (Field)</t>
  </si>
  <si>
    <t>التعليمات والتوضيح (Instructions)</t>
  </si>
  <si>
    <t>صف الإعداد الأمني المحدد بدقة (مثل: تعطيل حساب المسؤول المحلي، تشفير BitLocker).</t>
  </si>
  <si>
    <t>حدد القيمة أو الحالة المعيارية المطلوبة للإعداد (مثل: تفعيل التشفير، الحساب معطل).</t>
  </si>
  <si>
    <t>المبرر الأمني (Rationale)</t>
  </si>
  <si>
    <t>اشرح بإيجاز المبرر الأمني للإعداد والتهديد المستهدف منعه (مثل: حماية البيانات في حال السرقة).</t>
  </si>
  <si>
    <t>طريقة التحقق (Compliance Method)</t>
  </si>
  <si>
    <t>كيف سيتم فحص وتدقيق الإعداد (مثل: GPO، فحص نصي PowerShell، Microsoft Intune).</t>
  </si>
  <si>
    <t>الجهة المسؤولة (Responsible Party)</t>
  </si>
  <si>
    <t>الفريق أو الشخص المسؤول عن تطبيق وضمان استدامة الإعداد (مثل: قسم الدعم الفني، فريق الشبكات).</t>
  </si>
  <si>
    <t>تاريخ التطبيق (Date Applied)</t>
  </si>
  <si>
    <t>تاريخ بدء سريان وتطبيق الإعداد الأمني في بيئة البنك.</t>
  </si>
  <si>
    <t>تاريخ المراجعة القادمة (Next Review Date)</t>
  </si>
  <si>
    <t>التاريخ المستهدف لإعادة فحص وتدقيق الإعداد دورياً.</t>
  </si>
  <si>
    <t>الاستثناءات إن وجدت (Exception if any)</t>
  </si>
  <si>
    <t>سجل أي استثناءات معتمدة ومبررة نظامياً وتاريخ انتهائها المخطط له.</t>
  </si>
  <si>
    <t>مرجع الضابط الأمني (Control Reference)</t>
  </si>
  <si>
    <t>ربط الإعداد بالضابط المقابل في ISO 27001 A.8.9 أو معايير CIS Benchmarks أو ساما.</t>
  </si>
  <si>
    <t>مستوى الأثر الأمني (Security Impact Level)</t>
  </si>
  <si>
    <t>تقييم أهمية وخطورة الإعداد (عالي، متوسط، منخفض) - اختر من القائمة المنسدلة.</t>
  </si>
  <si>
    <t>نتيجة التدقيق (Audit Outcome)</t>
  </si>
  <si>
    <t>حالة الامتثال الفعلية عند التدقيق (مطابق، غير مطابق، قيد الفحص) - اختر من القائمة المنسدلة.</t>
  </si>
  <si>
    <t>ملاحظات وسياق البنك (Notes)</t>
  </si>
  <si>
    <t>إضافة أي سياق تشغيلي إضافي أو ربطه بالحوادث السابقة المسجلة في بنك الآفاق الرقمية.</t>
  </si>
  <si>
    <t>كيفية إكمال خط الأساس للتكوين الآمن</t>
  </si>
  <si>
    <t>عنصر التكوين (Configuration Item)</t>
  </si>
  <si>
    <t>إعداد خط الأساس (Required Setting)</t>
  </si>
  <si>
    <t>أجهزة الحواسيب المحمولة للموظفين (Windows 11 Enterprise Laptops - 2,000 جهاز) - بنك الآفاق الرقمية</t>
  </si>
  <si>
    <t>11 سبتمبر 2026</t>
  </si>
  <si>
    <t>أ. سارة الحربي (مدير أمن المعلومات - CISO) بالاعتماد مع م. فهد العتيبي  (مدير تقنية المعلومات - CIO) ومصادقة د. نورة القحطاني (الرئيس التنفيذي - CEO)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</si>
</sst>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1"/>
      <color rgb="FF000000"/>
      <name val="Times New Roman"/>
      <family val="1"/>
      <scheme val="major"/>
    </font>
    <font>
      <b/>
      <sz val="11"/>
      <color rgb="FFFFFFFF"/>
      <name val="Times New Roman"/>
      <family val="1"/>
      <scheme val="major"/>
    </font>
    <font>
      <b/>
      <sz val="11"/>
      <color theme="1"/>
      <name val="Times New Roman"/>
      <family val="1"/>
      <scheme val="major"/>
    </font>
    <font>
      <sz val="11"/>
      <color theme="1"/>
      <name val="Times New Roman"/>
      <family val="1"/>
      <scheme val="major"/>
    </font>
    <font>
      <sz val="28"/>
      <color theme="1"/>
      <name val="Arial"/>
      <family val="2"/>
      <scheme val="minor"/>
    </font>
    <font>
      <b/>
      <sz val="12"/>
      <color theme="1"/>
      <name val="Times New Roman"/>
      <family val="1"/>
      <scheme val="major"/>
    </font>
    <font>
      <sz val="9.5"/>
      <color rgb="FF000000"/>
      <name val="Arial"/>
      <family val="2"/>
    </font>
    <font>
      <b/>
      <sz val="10"/>
      <color rgb="FF002060"/>
      <name val="Arial"/>
      <family val="2"/>
    </font>
    <font>
      <b/>
      <sz val="20"/>
      <color rgb="FF1F497D"/>
      <name val="Times New Roman"/>
      <family val="1"/>
      <scheme val="major"/>
    </font>
    <font>
      <b/>
      <sz val="12"/>
      <color rgb="FF002060"/>
      <name val="Times New Roman"/>
      <family val="1"/>
      <scheme val="major"/>
    </font>
    <font>
      <b/>
      <sz val="12"/>
      <color rgb="FF1F497D"/>
      <name val="Times New Roman"/>
      <family val="1"/>
      <scheme val="major"/>
    </font>
    <font>
      <b/>
      <sz val="12"/>
      <color rgb="FF595959"/>
      <name val="Times New Roman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8FAFC"/>
        <bgColor rgb="FFF8FAFC"/>
      </patternFill>
    </fill>
    <fill>
      <patternFill patternType="solid">
        <fgColor theme="0"/>
        <bgColor rgb="FFF2F2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7" borderId="3" xfId="0" applyFont="1" applyFill="1" applyBorder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0" fillId="0" borderId="0" xfId="0" applyAlignment="1">
      <alignment readingOrder="2"/>
    </xf>
    <xf numFmtId="0" fontId="0" fillId="0" borderId="4" xfId="0" applyBorder="1" applyAlignment="1">
      <alignment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5" xfId="0" applyFont="1" applyFill="1" applyBorder="1" applyAlignment="1">
      <alignment horizontal="center" vertical="center" wrapText="1" readingOrder="2"/>
    </xf>
    <xf numFmtId="0" fontId="4" fillId="0" borderId="2" xfId="0" applyFont="1" applyBorder="1" applyAlignment="1">
      <alignment horizontal="center" vertical="center" readingOrder="2"/>
    </xf>
    <xf numFmtId="0" fontId="5" fillId="3" borderId="2" xfId="0" applyFont="1" applyFill="1" applyBorder="1" applyAlignment="1">
      <alignment horizontal="center" vertical="center" readingOrder="2"/>
    </xf>
    <xf numFmtId="0" fontId="4" fillId="4" borderId="2" xfId="0" applyFont="1" applyFill="1" applyBorder="1" applyAlignment="1">
      <alignment horizontal="center" vertical="center" readingOrder="2"/>
    </xf>
    <xf numFmtId="0" fontId="6" fillId="0" borderId="0" xfId="0" applyFont="1" applyAlignment="1">
      <alignment readingOrder="2"/>
    </xf>
    <xf numFmtId="0" fontId="4" fillId="5" borderId="2" xfId="0" applyFont="1" applyFill="1" applyBorder="1" applyAlignment="1">
      <alignment horizontal="center" vertical="center" readingOrder="2"/>
    </xf>
    <xf numFmtId="0" fontId="4" fillId="6" borderId="2" xfId="0" applyFont="1" applyFill="1" applyBorder="1" applyAlignment="1">
      <alignment horizontal="center" vertical="center" readingOrder="2"/>
    </xf>
    <xf numFmtId="0" fontId="7" fillId="0" borderId="0" xfId="0" applyFont="1" applyAlignment="1">
      <alignment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readingOrder="2"/>
    </xf>
    <xf numFmtId="0" fontId="4" fillId="0" borderId="1" xfId="0" applyFont="1" applyBorder="1" applyAlignment="1">
      <alignment horizontal="center" vertical="center" readingOrder="2"/>
    </xf>
    <xf numFmtId="164" fontId="4" fillId="0" borderId="1" xfId="0" applyNumberFormat="1" applyFont="1" applyBorder="1" applyAlignment="1">
      <alignment horizontal="center" vertical="center" readingOrder="2"/>
    </xf>
    <xf numFmtId="0" fontId="8" fillId="0" borderId="0" xfId="0" applyFont="1"/>
    <xf numFmtId="0" fontId="9" fillId="0" borderId="0" xfId="0" applyFont="1"/>
    <xf numFmtId="0" fontId="10" fillId="0" borderId="6" xfId="0" applyFont="1" applyBorder="1" applyAlignment="1">
      <alignment horizontal="right" vertical="center"/>
    </xf>
    <xf numFmtId="0" fontId="11" fillId="10" borderId="6" xfId="0" applyFont="1" applyFill="1" applyBorder="1" applyAlignment="1">
      <alignment horizontal="right" vertical="center"/>
    </xf>
    <xf numFmtId="0" fontId="13" fillId="8" borderId="6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center" vertical="center" wrapText="1" readingOrder="2"/>
    </xf>
    <xf numFmtId="0" fontId="14" fillId="6" borderId="6" xfId="0" applyFont="1" applyFill="1" applyBorder="1" applyAlignment="1">
      <alignment horizontal="right" vertical="center" wrapText="1" readingOrder="2"/>
    </xf>
    <xf numFmtId="0" fontId="15" fillId="6" borderId="6" xfId="0" applyFont="1" applyFill="1" applyBorder="1" applyAlignment="1">
      <alignment horizontal="right" vertical="center" wrapText="1" readingOrder="2"/>
    </xf>
    <xf numFmtId="0" fontId="14" fillId="9" borderId="6" xfId="0" applyFont="1" applyFill="1" applyBorder="1" applyAlignment="1">
      <alignment horizontal="right" vertical="center" wrapText="1" readingOrder="2"/>
    </xf>
    <xf numFmtId="0" fontId="15" fillId="9" borderId="6" xfId="0" applyFont="1" applyFill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readingOrder="2"/>
    </xf>
    <xf numFmtId="14" fontId="2" fillId="0" borderId="3" xfId="0" applyNumberFormat="1" applyFont="1" applyBorder="1" applyAlignment="1">
      <alignment horizontal="right" vertical="center" readingOrder="2"/>
    </xf>
    <xf numFmtId="0" fontId="12" fillId="0" borderId="0" xfId="0" applyFont="1" applyAlignment="1">
      <alignment horizontal="center" vertical="center"/>
    </xf>
    <xf numFmtId="0" fontId="0" fillId="0" borderId="0" xfId="0"/>
    <xf numFmtId="0" fontId="2" fillId="0" borderId="6" xfId="0" applyFont="1" applyBorder="1" applyAlignment="1">
      <alignment horizontal="right" vertical="center"/>
    </xf>
    <xf numFmtId="0" fontId="9" fillId="0" borderId="6" xfId="0" applyFont="1" applyBorder="1"/>
    <xf numFmtId="0" fontId="2" fillId="0" borderId="6" xfId="0" applyFont="1" applyBorder="1" applyAlignment="1">
      <alignment horizontal="right" vertical="center" readingOrder="2"/>
    </xf>
    <xf numFmtId="0" fontId="9" fillId="0" borderId="6" xfId="0" applyFont="1" applyBorder="1" applyAlignment="1">
      <alignment readingOrder="2"/>
    </xf>
  </cellXfs>
  <cellStyles count="1">
    <cellStyle name="Normal" xfId="0" builtinId="0"/>
  </cellStyles>
  <dxfs count="6">
    <dxf>
      <font>
        <b/>
        <sz val="9.5"/>
        <color rgb="FF000000"/>
        <name val="Arial"/>
      </font>
      <fill>
        <patternFill patternType="solid">
          <fgColor rgb="FFFFFFFF"/>
          <bgColor rgb="FFFFFFFF"/>
        </patternFill>
      </fill>
    </dxf>
    <dxf>
      <font>
        <b/>
        <sz val="9.5"/>
        <color rgb="FF000000"/>
        <name val="Arial"/>
      </font>
      <fill>
        <patternFill patternType="solid">
          <fgColor rgb="FFFFC000"/>
          <bgColor rgb="FFFFC000"/>
        </patternFill>
      </fill>
    </dxf>
    <dxf>
      <font>
        <b/>
        <sz val="9.5"/>
        <color rgb="FF000000"/>
        <name val="Arial"/>
      </font>
      <fill>
        <patternFill patternType="solid">
          <fgColor rgb="FF70AD47"/>
          <bgColor rgb="FF70AD47"/>
        </patternFill>
      </fill>
    </dxf>
    <dxf>
      <font>
        <b/>
        <sz val="9.5"/>
        <color rgb="FF000000"/>
        <name val="Arial"/>
      </font>
      <fill>
        <patternFill patternType="solid">
          <fgColor rgb="FF92D050"/>
          <bgColor rgb="FF92D050"/>
        </patternFill>
      </fill>
    </dxf>
    <dxf>
      <font>
        <b/>
        <sz val="9.5"/>
        <color rgb="FF000000"/>
        <name val="Arial"/>
      </font>
      <fill>
        <patternFill patternType="solid">
          <fgColor rgb="FFFFC000"/>
          <bgColor rgb="FFFFC000"/>
        </patternFill>
      </fill>
    </dxf>
    <dxf>
      <font>
        <b/>
        <sz val="9.5"/>
        <color rgb="FFFFFFFF"/>
        <name val="Arial"/>
      </font>
      <fill>
        <patternFill patternType="solid">
          <fgColor rgb="FFC00000"/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rightToLeft="1" zoomScale="94" workbookViewId="0">
      <selection activeCell="C19" sqref="C19"/>
    </sheetView>
  </sheetViews>
  <sheetFormatPr defaultRowHeight="14.25" x14ac:dyDescent="0.2"/>
  <cols>
    <col min="1" max="1" width="37.375" style="3" customWidth="1"/>
    <col min="2" max="2" width="65.375" style="3" customWidth="1"/>
    <col min="3" max="3" width="39.5" style="3" customWidth="1"/>
    <col min="4" max="4" width="28" style="3" customWidth="1"/>
    <col min="5" max="5" width="26.75" style="3" customWidth="1"/>
    <col min="6" max="6" width="14" style="3" customWidth="1"/>
    <col min="7" max="7" width="16" style="3" customWidth="1"/>
    <col min="8" max="8" width="34" style="3" customWidth="1"/>
    <col min="9" max="10" width="22" style="3" customWidth="1"/>
    <col min="11" max="11" width="18" style="3" customWidth="1"/>
    <col min="12" max="12" width="42" style="3" customWidth="1"/>
    <col min="13" max="16384" width="9" style="3"/>
  </cols>
  <sheetData>
    <row r="1" spans="1:12" s="2" customFormat="1" ht="15.75" x14ac:dyDescent="0.25">
      <c r="A1" s="1" t="s">
        <v>0</v>
      </c>
      <c r="B1" s="28" t="s">
        <v>1</v>
      </c>
    </row>
    <row r="2" spans="1:12" s="2" customFormat="1" ht="15.75" x14ac:dyDescent="0.25">
      <c r="A2" s="1" t="s">
        <v>2</v>
      </c>
      <c r="B2" s="28" t="s">
        <v>3</v>
      </c>
    </row>
    <row r="3" spans="1:12" s="2" customFormat="1" ht="15.75" x14ac:dyDescent="0.25">
      <c r="A3" s="1" t="s">
        <v>4</v>
      </c>
      <c r="B3" s="28" t="s">
        <v>5</v>
      </c>
    </row>
    <row r="4" spans="1:12" s="2" customFormat="1" ht="15.75" x14ac:dyDescent="0.25">
      <c r="A4" s="1" t="s">
        <v>6</v>
      </c>
      <c r="B4" s="29">
        <v>46278</v>
      </c>
    </row>
    <row r="5" spans="1:12" x14ac:dyDescent="0.2">
      <c r="B5" s="4"/>
    </row>
    <row r="6" spans="1:12" s="2" customFormat="1" ht="47.25" x14ac:dyDescent="0.25">
      <c r="A6" s="5" t="s">
        <v>7</v>
      </c>
      <c r="B6" s="6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 s="10" customFormat="1" ht="28.5" x14ac:dyDescent="0.2">
      <c r="A7" s="14" t="s">
        <v>19</v>
      </c>
      <c r="B7" s="14" t="s">
        <v>20</v>
      </c>
      <c r="C7" s="14" t="s">
        <v>21</v>
      </c>
      <c r="D7" s="14" t="s">
        <v>22</v>
      </c>
      <c r="E7" s="14" t="s">
        <v>23</v>
      </c>
      <c r="F7" s="7" t="s">
        <v>24</v>
      </c>
      <c r="G7" s="7" t="s">
        <v>25</v>
      </c>
      <c r="H7" s="14" t="s">
        <v>26</v>
      </c>
      <c r="I7" s="7" t="s">
        <v>27</v>
      </c>
      <c r="J7" s="8" t="s">
        <v>28</v>
      </c>
      <c r="K7" s="9" t="s">
        <v>29</v>
      </c>
      <c r="L7" s="14" t="s">
        <v>30</v>
      </c>
    </row>
    <row r="8" spans="1:12" s="10" customFormat="1" ht="28.5" x14ac:dyDescent="0.2">
      <c r="A8" s="14" t="s">
        <v>31</v>
      </c>
      <c r="B8" s="14" t="s">
        <v>32</v>
      </c>
      <c r="C8" s="14" t="s">
        <v>33</v>
      </c>
      <c r="D8" s="14" t="s">
        <v>34</v>
      </c>
      <c r="E8" s="14" t="s">
        <v>23</v>
      </c>
      <c r="F8" s="7" t="s">
        <v>24</v>
      </c>
      <c r="G8" s="7" t="s">
        <v>25</v>
      </c>
      <c r="H8" s="14" t="s">
        <v>35</v>
      </c>
      <c r="I8" s="7" t="s">
        <v>27</v>
      </c>
      <c r="J8" s="8" t="s">
        <v>28</v>
      </c>
      <c r="K8" s="11" t="s">
        <v>36</v>
      </c>
      <c r="L8" s="14" t="s">
        <v>37</v>
      </c>
    </row>
    <row r="9" spans="1:12" s="10" customFormat="1" ht="28.5" x14ac:dyDescent="0.2">
      <c r="A9" s="14" t="s">
        <v>38</v>
      </c>
      <c r="B9" s="14" t="s">
        <v>39</v>
      </c>
      <c r="C9" s="14" t="s">
        <v>40</v>
      </c>
      <c r="D9" s="14" t="s">
        <v>41</v>
      </c>
      <c r="E9" s="14" t="s">
        <v>23</v>
      </c>
      <c r="F9" s="7" t="s">
        <v>24</v>
      </c>
      <c r="G9" s="7" t="s">
        <v>25</v>
      </c>
      <c r="H9" s="14" t="s">
        <v>26</v>
      </c>
      <c r="I9" s="7" t="s">
        <v>42</v>
      </c>
      <c r="J9" s="11" t="s">
        <v>43</v>
      </c>
      <c r="K9" s="9" t="s">
        <v>29</v>
      </c>
      <c r="L9" s="14" t="s">
        <v>44</v>
      </c>
    </row>
    <row r="10" spans="1:12" s="10" customFormat="1" ht="28.5" x14ac:dyDescent="0.2">
      <c r="A10" s="14" t="s">
        <v>45</v>
      </c>
      <c r="B10" s="14" t="s">
        <v>46</v>
      </c>
      <c r="C10" s="14" t="s">
        <v>47</v>
      </c>
      <c r="D10" s="14" t="s">
        <v>48</v>
      </c>
      <c r="E10" s="14" t="s">
        <v>23</v>
      </c>
      <c r="F10" s="7" t="s">
        <v>24</v>
      </c>
      <c r="G10" s="7" t="s">
        <v>25</v>
      </c>
      <c r="H10" s="14" t="s">
        <v>49</v>
      </c>
      <c r="I10" s="7" t="s">
        <v>50</v>
      </c>
      <c r="J10" s="8" t="s">
        <v>28</v>
      </c>
      <c r="K10" s="9" t="s">
        <v>29</v>
      </c>
      <c r="L10" s="14" t="s">
        <v>51</v>
      </c>
    </row>
    <row r="11" spans="1:12" s="10" customFormat="1" ht="28.5" x14ac:dyDescent="0.2">
      <c r="A11" s="14" t="s">
        <v>52</v>
      </c>
      <c r="B11" s="14" t="s">
        <v>53</v>
      </c>
      <c r="C11" s="14" t="s">
        <v>54</v>
      </c>
      <c r="D11" s="14" t="s">
        <v>55</v>
      </c>
      <c r="E11" s="14" t="s">
        <v>23</v>
      </c>
      <c r="F11" s="7" t="s">
        <v>24</v>
      </c>
      <c r="G11" s="7" t="s">
        <v>25</v>
      </c>
      <c r="H11" s="14" t="s">
        <v>26</v>
      </c>
      <c r="I11" s="7" t="s">
        <v>56</v>
      </c>
      <c r="J11" s="8" t="s">
        <v>28</v>
      </c>
      <c r="K11" s="9" t="s">
        <v>29</v>
      </c>
      <c r="L11" s="14" t="s">
        <v>57</v>
      </c>
    </row>
    <row r="12" spans="1:12" s="10" customFormat="1" ht="28.5" x14ac:dyDescent="0.2">
      <c r="A12" s="14" t="s">
        <v>58</v>
      </c>
      <c r="B12" s="14" t="s">
        <v>59</v>
      </c>
      <c r="C12" s="14" t="s">
        <v>60</v>
      </c>
      <c r="D12" s="14" t="s">
        <v>61</v>
      </c>
      <c r="E12" s="14" t="s">
        <v>62</v>
      </c>
      <c r="F12" s="7" t="s">
        <v>63</v>
      </c>
      <c r="G12" s="7" t="s">
        <v>64</v>
      </c>
      <c r="H12" s="14" t="s">
        <v>26</v>
      </c>
      <c r="I12" s="7" t="s">
        <v>65</v>
      </c>
      <c r="J12" s="11" t="s">
        <v>43</v>
      </c>
      <c r="K12" s="9" t="s">
        <v>29</v>
      </c>
      <c r="L12" s="14" t="s">
        <v>66</v>
      </c>
    </row>
    <row r="13" spans="1:12" s="10" customFormat="1" ht="28.5" x14ac:dyDescent="0.2">
      <c r="A13" s="14" t="s">
        <v>68</v>
      </c>
      <c r="B13" s="14" t="s">
        <v>69</v>
      </c>
      <c r="C13" s="14" t="s">
        <v>70</v>
      </c>
      <c r="D13" s="14" t="s">
        <v>71</v>
      </c>
      <c r="E13" s="14" t="s">
        <v>72</v>
      </c>
      <c r="F13" s="7" t="s">
        <v>73</v>
      </c>
      <c r="G13" s="7" t="s">
        <v>74</v>
      </c>
      <c r="H13" s="14" t="s">
        <v>26</v>
      </c>
      <c r="I13" s="7" t="s">
        <v>75</v>
      </c>
      <c r="J13" s="8" t="s">
        <v>28</v>
      </c>
      <c r="K13" s="9" t="s">
        <v>29</v>
      </c>
      <c r="L13" s="14" t="s">
        <v>76</v>
      </c>
    </row>
    <row r="14" spans="1:12" s="10" customFormat="1" ht="28.5" x14ac:dyDescent="0.2">
      <c r="A14" s="14" t="s">
        <v>77</v>
      </c>
      <c r="B14" s="14" t="s">
        <v>78</v>
      </c>
      <c r="C14" s="14" t="s">
        <v>79</v>
      </c>
      <c r="D14" s="14" t="s">
        <v>80</v>
      </c>
      <c r="E14" s="14" t="s">
        <v>62</v>
      </c>
      <c r="F14" s="7" t="s">
        <v>24</v>
      </c>
      <c r="G14" s="7" t="s">
        <v>25</v>
      </c>
      <c r="H14" s="14" t="s">
        <v>26</v>
      </c>
      <c r="I14" s="7" t="s">
        <v>81</v>
      </c>
      <c r="J14" s="8" t="s">
        <v>28</v>
      </c>
      <c r="K14" s="9" t="s">
        <v>29</v>
      </c>
      <c r="L14" s="14" t="s">
        <v>82</v>
      </c>
    </row>
    <row r="15" spans="1:12" s="10" customFormat="1" ht="28.5" x14ac:dyDescent="0.2">
      <c r="A15" s="14" t="s">
        <v>83</v>
      </c>
      <c r="B15" s="14" t="s">
        <v>84</v>
      </c>
      <c r="C15" s="14" t="s">
        <v>85</v>
      </c>
      <c r="D15" s="14" t="s">
        <v>86</v>
      </c>
      <c r="E15" s="14" t="s">
        <v>87</v>
      </c>
      <c r="F15" s="7" t="s">
        <v>67</v>
      </c>
      <c r="G15" s="7" t="s">
        <v>64</v>
      </c>
      <c r="H15" s="14" t="s">
        <v>26</v>
      </c>
      <c r="I15" s="7" t="s">
        <v>88</v>
      </c>
      <c r="J15" s="8" t="s">
        <v>28</v>
      </c>
      <c r="K15" s="9" t="s">
        <v>29</v>
      </c>
      <c r="L15" s="14" t="s">
        <v>89</v>
      </c>
    </row>
    <row r="16" spans="1:12" s="10" customFormat="1" ht="28.5" x14ac:dyDescent="0.2">
      <c r="A16" s="14" t="s">
        <v>90</v>
      </c>
      <c r="B16" s="14" t="s">
        <v>91</v>
      </c>
      <c r="C16" s="14" t="s">
        <v>92</v>
      </c>
      <c r="D16" s="14" t="s">
        <v>93</v>
      </c>
      <c r="E16" s="14" t="s">
        <v>23</v>
      </c>
      <c r="F16" s="7" t="s">
        <v>63</v>
      </c>
      <c r="G16" s="7" t="s">
        <v>74</v>
      </c>
      <c r="H16" s="14" t="s">
        <v>94</v>
      </c>
      <c r="I16" s="7" t="s">
        <v>42</v>
      </c>
      <c r="J16" s="11" t="s">
        <v>43</v>
      </c>
      <c r="K16" s="12" t="s">
        <v>95</v>
      </c>
      <c r="L16" s="14" t="s">
        <v>96</v>
      </c>
    </row>
    <row r="18" spans="1:2" s="13" customFormat="1" ht="15" x14ac:dyDescent="0.25">
      <c r="A18" s="15" t="s">
        <v>97</v>
      </c>
      <c r="B18" s="16">
        <f>COUNTA(A7:A16)</f>
        <v>10</v>
      </c>
    </row>
    <row r="19" spans="1:2" s="13" customFormat="1" ht="15" x14ac:dyDescent="0.25">
      <c r="A19" s="15" t="s">
        <v>98</v>
      </c>
      <c r="B19" s="16">
        <f>COUNTIF(K7:K16, "مطابق")</f>
        <v>8</v>
      </c>
    </row>
    <row r="20" spans="1:2" s="13" customFormat="1" ht="15" x14ac:dyDescent="0.25">
      <c r="A20" s="15" t="s">
        <v>99</v>
      </c>
      <c r="B20" s="16">
        <f>COUNTIF(K7:K16, "غير مطابق")</f>
        <v>1</v>
      </c>
    </row>
    <row r="21" spans="1:2" s="13" customFormat="1" ht="15" x14ac:dyDescent="0.25">
      <c r="A21" s="15" t="s">
        <v>100</v>
      </c>
      <c r="B21" s="16">
        <f>COUNTIF(K7:K16, "قيد الفحص")</f>
        <v>1</v>
      </c>
    </row>
    <row r="22" spans="1:2" s="13" customFormat="1" ht="15" x14ac:dyDescent="0.25">
      <c r="A22" s="15" t="s">
        <v>101</v>
      </c>
      <c r="B22" s="17">
        <f>COUNTIF(K7:K16, "مطابق")/COUNTA(A7:A16)</f>
        <v>0.8</v>
      </c>
    </row>
  </sheetData>
  <conditionalFormatting sqref="J7:J16">
    <cfRule type="cellIs" dxfId="5" priority="1" stopIfTrue="1" operator="equal">
      <formula>"عالي"</formula>
    </cfRule>
    <cfRule type="cellIs" dxfId="4" priority="2" stopIfTrue="1" operator="equal">
      <formula>"متوسط"</formula>
    </cfRule>
    <cfRule type="cellIs" dxfId="3" priority="3" stopIfTrue="1" operator="equal">
      <formula>"منخفض"</formula>
    </cfRule>
  </conditionalFormatting>
  <conditionalFormatting sqref="K7:K16">
    <cfRule type="cellIs" dxfId="2" priority="4" stopIfTrue="1" operator="equal">
      <formula>"مطابق"</formula>
    </cfRule>
    <cfRule type="cellIs" dxfId="1" priority="5" stopIfTrue="1" operator="equal">
      <formula>"غير مطابق"</formula>
    </cfRule>
    <cfRule type="cellIs" dxfId="0" priority="6" stopIfTrue="1" operator="equal">
      <formula>"قيد الفحص"</formula>
    </cfRule>
  </conditionalFormatting>
  <dataValidations count="2">
    <dataValidation type="list" allowBlank="1" errorTitle="قيمة غير صحيحة" error="يرجى اختيار قيمة صحيحة من القائمة: عالي، متوسط، منخفض" sqref="J7:J16" xr:uid="{00000000-0002-0000-0000-000000000000}">
      <formula1>"عالي,متوسط,منخفض"</formula1>
    </dataValidation>
    <dataValidation type="list" allowBlank="1" errorTitle="قيمة غير صحيحة" error="يرجى اختيار قيمة صحيحة من القائمة: مطابق، غير مطابق، قيد الفحص" sqref="K7:K16" xr:uid="{00000000-0002-0000-0000-000001000000}">
      <formula1>"مطابق,غير مطابق,قيد الفحص"</formula1>
    </dataValidation>
  </dataValidation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rightToLeft="1" tabSelected="1" workbookViewId="0">
      <selection activeCell="B21" sqref="B21"/>
    </sheetView>
  </sheetViews>
  <sheetFormatPr defaultRowHeight="14.25" x14ac:dyDescent="0.2"/>
  <cols>
    <col min="1" max="1" width="32.25" customWidth="1"/>
    <col min="2" max="2" width="98.25" customWidth="1"/>
  </cols>
  <sheetData>
    <row r="1" spans="1:3" s="18" customFormat="1" ht="34.5" x14ac:dyDescent="0.45">
      <c r="A1" s="30" t="s">
        <v>126</v>
      </c>
      <c r="B1" s="31"/>
    </row>
    <row r="2" spans="1:3" s="19" customFormat="1" ht="15.75" x14ac:dyDescent="0.25">
      <c r="A2" s="22" t="s">
        <v>0</v>
      </c>
      <c r="B2" s="32" t="s">
        <v>129</v>
      </c>
      <c r="C2" s="33"/>
    </row>
    <row r="3" spans="1:3" s="19" customFormat="1" ht="15.75" x14ac:dyDescent="0.25">
      <c r="A3" s="22" t="s">
        <v>2</v>
      </c>
      <c r="B3" s="32" t="s">
        <v>3</v>
      </c>
      <c r="C3" s="33"/>
    </row>
    <row r="4" spans="1:3" s="19" customFormat="1" ht="15.75" x14ac:dyDescent="0.25">
      <c r="A4" s="22" t="s">
        <v>4</v>
      </c>
      <c r="B4" s="34" t="s">
        <v>131</v>
      </c>
      <c r="C4" s="35"/>
    </row>
    <row r="5" spans="1:3" s="19" customFormat="1" ht="15.75" x14ac:dyDescent="0.25">
      <c r="A5" s="22" t="s">
        <v>6</v>
      </c>
      <c r="B5" s="34" t="s">
        <v>130</v>
      </c>
      <c r="C5" s="35"/>
    </row>
    <row r="6" spans="1:3" x14ac:dyDescent="0.2">
      <c r="A6" s="21"/>
      <c r="B6" s="20"/>
    </row>
    <row r="7" spans="1:3" x14ac:dyDescent="0.2">
      <c r="A7" s="23" t="s">
        <v>102</v>
      </c>
      <c r="B7" s="23" t="s">
        <v>103</v>
      </c>
    </row>
    <row r="8" spans="1:3" s="19" customFormat="1" ht="15.75" x14ac:dyDescent="0.25">
      <c r="A8" s="24" t="s">
        <v>127</v>
      </c>
      <c r="B8" s="25" t="s">
        <v>104</v>
      </c>
    </row>
    <row r="9" spans="1:3" s="19" customFormat="1" ht="15.75" x14ac:dyDescent="0.25">
      <c r="A9" s="26" t="s">
        <v>128</v>
      </c>
      <c r="B9" s="27" t="s">
        <v>105</v>
      </c>
    </row>
    <row r="10" spans="1:3" s="19" customFormat="1" ht="15.75" x14ac:dyDescent="0.25">
      <c r="A10" s="24" t="s">
        <v>106</v>
      </c>
      <c r="B10" s="25" t="s">
        <v>107</v>
      </c>
    </row>
    <row r="11" spans="1:3" s="19" customFormat="1" ht="15.75" x14ac:dyDescent="0.25">
      <c r="A11" s="26" t="s">
        <v>108</v>
      </c>
      <c r="B11" s="27" t="s">
        <v>109</v>
      </c>
    </row>
    <row r="12" spans="1:3" s="19" customFormat="1" ht="15.75" x14ac:dyDescent="0.25">
      <c r="A12" s="24" t="s">
        <v>110</v>
      </c>
      <c r="B12" s="25" t="s">
        <v>111</v>
      </c>
    </row>
    <row r="13" spans="1:3" s="19" customFormat="1" ht="15.75" x14ac:dyDescent="0.25">
      <c r="A13" s="26" t="s">
        <v>112</v>
      </c>
      <c r="B13" s="27" t="s">
        <v>113</v>
      </c>
    </row>
    <row r="14" spans="1:3" s="19" customFormat="1" ht="31.5" x14ac:dyDescent="0.25">
      <c r="A14" s="24" t="s">
        <v>114</v>
      </c>
      <c r="B14" s="25" t="s">
        <v>115</v>
      </c>
    </row>
    <row r="15" spans="1:3" s="19" customFormat="1" ht="15.75" x14ac:dyDescent="0.25">
      <c r="A15" s="26" t="s">
        <v>116</v>
      </c>
      <c r="B15" s="27" t="s">
        <v>117</v>
      </c>
    </row>
    <row r="16" spans="1:3" s="19" customFormat="1" ht="15.75" x14ac:dyDescent="0.25">
      <c r="A16" s="24" t="s">
        <v>118</v>
      </c>
      <c r="B16" s="25" t="s">
        <v>119</v>
      </c>
    </row>
    <row r="17" spans="1:2" s="19" customFormat="1" ht="31.5" x14ac:dyDescent="0.25">
      <c r="A17" s="26" t="s">
        <v>120</v>
      </c>
      <c r="B17" s="27" t="s">
        <v>121</v>
      </c>
    </row>
    <row r="18" spans="1:2" s="19" customFormat="1" ht="15.75" x14ac:dyDescent="0.25">
      <c r="A18" s="24" t="s">
        <v>122</v>
      </c>
      <c r="B18" s="25" t="s">
        <v>123</v>
      </c>
    </row>
    <row r="19" spans="1:2" s="19" customFormat="1" ht="15.75" x14ac:dyDescent="0.25">
      <c r="A19" s="26" t="s">
        <v>124</v>
      </c>
      <c r="B19" s="27" t="s">
        <v>125</v>
      </c>
    </row>
  </sheetData>
  <mergeCells count="5">
    <mergeCell ref="A1:B1"/>
    <mergeCell ref="B2:C2"/>
    <mergeCell ref="B3:C3"/>
    <mergeCell ref="B4:C4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Configuration Baseline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AL-Ameri</cp:lastModifiedBy>
  <cp:lastPrinted>2026-09-12T20:48:11Z</cp:lastPrinted>
  <dcterms:created xsi:type="dcterms:W3CDTF">2026-09-11T22:15:38Z</dcterms:created>
  <dcterms:modified xsi:type="dcterms:W3CDTF">2026-09-13T21:20:37Z</dcterms:modified>
</cp:coreProperties>
</file>