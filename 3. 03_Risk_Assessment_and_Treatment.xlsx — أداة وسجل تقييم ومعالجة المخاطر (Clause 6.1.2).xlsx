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A0E03F8-7D3D-4987-A8CB-F4C3AA8CD6C0}" xr6:coauthVersionLast="47" xr6:coauthVersionMax="47" xr10:uidLastSave="{00000000-0000-0000-0000-000000000000}"/>
  <bookViews>
    <workbookView xWindow="-120" yWindow="-120" windowWidth="29040" windowHeight="15990" activeTab="4" xr2:uid="{00000000-000D-0000-FFFF-FFFF00000000}"/>
  </bookViews>
  <sheets>
    <sheet name="Assessment Details" sheetId="2" r:id="rId1"/>
    <sheet name="Risk Assessment" sheetId="3" r:id="rId2"/>
    <sheet name="Dashboard" sheetId="4" r:id="rId3"/>
    <sheet name="Likelihood" sheetId="6" r:id="rId4"/>
    <sheet name="Impact" sheetId="7" r:id="rId5"/>
  </sheets>
  <calcPr calcId="181029"/>
</workbook>
</file>

<file path=xl/calcChain.xml><?xml version="1.0" encoding="utf-8"?>
<calcChain xmlns="http://schemas.openxmlformats.org/spreadsheetml/2006/main">
  <c r="C16" i="4" l="1"/>
  <c r="E15" i="4"/>
  <c r="C15" i="4"/>
  <c r="C14" i="4"/>
  <c r="E13" i="4"/>
  <c r="C13" i="4"/>
  <c r="S32" i="3"/>
  <c r="AB31" i="3"/>
  <c r="AC31" i="3" s="1"/>
  <c r="N31" i="3"/>
  <c r="O31" i="3" s="1"/>
  <c r="AB30" i="3"/>
  <c r="AC30" i="3" s="1"/>
  <c r="N30" i="3"/>
  <c r="O30" i="3" s="1"/>
  <c r="AB29" i="3"/>
  <c r="AC29" i="3" s="1"/>
  <c r="N29" i="3"/>
  <c r="O29" i="3" s="1"/>
  <c r="AB28" i="3"/>
  <c r="AC28" i="3" s="1"/>
  <c r="N28" i="3"/>
  <c r="O28" i="3" s="1"/>
  <c r="AB27" i="3"/>
  <c r="AC27" i="3" s="1"/>
  <c r="N27" i="3"/>
  <c r="O27" i="3" s="1"/>
  <c r="AB26" i="3"/>
  <c r="AC26" i="3" s="1"/>
  <c r="N26" i="3"/>
  <c r="O26" i="3" s="1"/>
  <c r="AB25" i="3"/>
  <c r="AC25" i="3" s="1"/>
  <c r="N25" i="3"/>
  <c r="O25" i="3" s="1"/>
  <c r="AB24" i="3"/>
  <c r="AC24" i="3" s="1"/>
  <c r="N24" i="3"/>
  <c r="O24" i="3" s="1"/>
  <c r="AB23" i="3"/>
  <c r="AC23" i="3" s="1"/>
  <c r="N23" i="3"/>
  <c r="O23" i="3" s="1"/>
  <c r="AB22" i="3"/>
  <c r="AC22" i="3" s="1"/>
  <c r="N22" i="3"/>
  <c r="O22" i="3" s="1"/>
  <c r="AB21" i="3"/>
  <c r="AC21" i="3" s="1"/>
  <c r="N21" i="3"/>
  <c r="O21" i="3" s="1"/>
  <c r="AB20" i="3"/>
  <c r="AC20" i="3" s="1"/>
  <c r="N20" i="3"/>
  <c r="O20" i="3" s="1"/>
  <c r="AB19" i="3"/>
  <c r="AC19" i="3" s="1"/>
  <c r="N19" i="3"/>
  <c r="O19" i="3" s="1"/>
  <c r="AB18" i="3"/>
  <c r="AC18" i="3" s="1"/>
  <c r="N18" i="3"/>
  <c r="O18" i="3" s="1"/>
  <c r="AB17" i="3"/>
  <c r="AC17" i="3" s="1"/>
  <c r="N17" i="3"/>
  <c r="O17" i="3" s="1"/>
  <c r="AB16" i="3"/>
  <c r="AC16" i="3" s="1"/>
  <c r="N16" i="3"/>
  <c r="O16" i="3" s="1"/>
  <c r="AB15" i="3"/>
  <c r="AC15" i="3" s="1"/>
  <c r="N15" i="3"/>
  <c r="O15" i="3" s="1"/>
  <c r="AB14" i="3"/>
  <c r="AC14" i="3" s="1"/>
  <c r="N14" i="3"/>
  <c r="O14" i="3" s="1"/>
  <c r="AB13" i="3"/>
  <c r="AC13" i="3" s="1"/>
  <c r="N13" i="3"/>
  <c r="O13" i="3" s="1"/>
  <c r="AB12" i="3"/>
  <c r="AC12" i="3" s="1"/>
  <c r="N12" i="3"/>
  <c r="O12" i="3" s="1"/>
  <c r="E17" i="4" l="1"/>
  <c r="E7" i="4"/>
  <c r="E6" i="4"/>
  <c r="C17" i="4"/>
  <c r="D16" i="4" s="1"/>
  <c r="C6" i="4"/>
  <c r="C7" i="4"/>
  <c r="C5" i="4"/>
  <c r="E5" i="4"/>
  <c r="D13" i="4" l="1"/>
  <c r="D15" i="4"/>
  <c r="D14" i="4"/>
  <c r="C8" i="4"/>
  <c r="D5" i="4" s="1"/>
  <c r="D6" i="4"/>
  <c r="E8" i="4"/>
  <c r="F5" i="4"/>
  <c r="D7" i="4" l="1"/>
  <c r="D17" i="4"/>
  <c r="D8" i="4"/>
  <c r="F6" i="4"/>
  <c r="F7" i="4"/>
  <c r="F8" i="4" l="1"/>
</calcChain>
</file>

<file path=xl/sharedStrings.xml><?xml version="1.0" encoding="utf-8"?>
<sst xmlns="http://schemas.openxmlformats.org/spreadsheetml/2006/main" count="474" uniqueCount="399">
  <si>
    <t>أداة تقييم ومعالجة المخاطر المبنية على الأصول — بنك الآفاق الرقمية 2026 م</t>
  </si>
  <si>
    <t>المقر الرئيسي بالرياض، مركز البيانات بالطابق 3، مركز التعافي بجدة، 25 فرعاً، 150 صرافاً، والتطبيقات المصرفية (آفاق نت وآفاق بلس)</t>
  </si>
  <si>
    <t>الخدمات المصرفية للأفراد والشركات والأنظمة السحابية والربط مع شبكة المدفوعات وفق إطار ساما ونظام سدايا وISO 27001:2022</t>
  </si>
  <si>
    <t>المنخفضة (1-4): مقبولة؛ المتوسطة (5-10): تتطلب موافقة CISO؛ العالية والحرجة (12-25): غير مقبولة وتتطلب معالجة إلزامية فورية</t>
  </si>
  <si>
    <t>11 سبتمبر 2026 م</t>
  </si>
  <si>
    <t>محمد العامري (قائد المشروع)، محمد الكشري (مسؤول تقييم المخاطر السيبرانية)</t>
  </si>
  <si>
    <t>محمد شماخ (الضوابط التقنية)، محمد الأصبحي (التدقيق الداخلي)، م. فهد العتيبي (CIO)</t>
  </si>
  <si>
    <t>أ. سارة الحربي (مدير أمن المعلومات - CISO) ود. نورة القحطاني (الرئيس التنفيذي - CEO)</t>
  </si>
  <si>
    <t>12 سبتمبر 2026 م</t>
  </si>
  <si>
    <t>تقييم ما قبل المعالجة (PRE-TREATMENT ASSESSMENT)</t>
  </si>
  <si>
    <t>تقييم ما بعد المعالجة (POST-TREATMENT ASSESSMENT)</t>
  </si>
  <si>
    <t>الملاحظات (COMMENTS)</t>
  </si>
  <si>
    <t>مستوى الخطر
Risk Level</t>
  </si>
  <si>
    <t>حالة إجراء المعالجة
Action Status</t>
  </si>
  <si>
    <t>الاحتمالية بعد المعالجة
Post Likelihood</t>
  </si>
  <si>
    <t>مبررات الاحتمالية المتبقية
Post L Rationale</t>
  </si>
  <si>
    <t>الأثر بعد المعالجة
Post Impact</t>
  </si>
  <si>
    <t>مبررات الأثر المتبقي
Post I Rationale</t>
  </si>
  <si>
    <t>درجة الخطر المتبقي
Post Risk Score</t>
  </si>
  <si>
    <t>مستوى الخطر المتبقي
Post Risk Level</t>
  </si>
  <si>
    <t>ملاحظات إضافية
Comments</t>
  </si>
  <si>
    <t>البرمجيات والأنظمة</t>
  </si>
  <si>
    <t>جدار الحماية الرئيسي (Palo Alto)</t>
  </si>
  <si>
    <t>انقطاع الخدمة المصرفية نتيجة تعديل خاطئ وغير معتمد في قواعد التوجيه</t>
  </si>
  <si>
    <t>غياب مبدأ الموافقة المزدوجة وعدم إلزامية خطط التراجع (Rollback Plan)</t>
  </si>
  <si>
    <t>CIA</t>
  </si>
  <si>
    <t>م. فهد العتيبي (CIO)</t>
  </si>
  <si>
    <t>كلمات مرور فردية دون موافقة مسبقة</t>
  </si>
  <si>
    <t>تكرر انقطاع الخدمات لمدة 4 ساعات سابقاً نتيجة تطبيق تعديل خاطئ</t>
  </si>
  <si>
    <t>توقف قنوات الصيرفة والربط مع شبكة المدفوعات (مدى) وخسائر تشغيلية</t>
  </si>
  <si>
    <t>Modify</t>
  </si>
  <si>
    <t>إلزامية اعتماد لجنة إدارة التغيير (CAB) وتطبيق الموافقة المزدوجة واختبار خطة التراجع قبل أي تعديل</t>
  </si>
  <si>
    <t>A.8.32, A.8.20, A.8.2</t>
  </si>
  <si>
    <t>قسم الشبكات وأمن المعلومات</t>
  </si>
  <si>
    <t>الربع الأول 2026</t>
  </si>
  <si>
    <t>Completed</t>
  </si>
  <si>
    <t>تطبيق حوكمة التغيير والموافقة المزدوجة يمنع الأخطاء غير المفحوصة</t>
  </si>
  <si>
    <t>توفر خطة تراجع فورية يقلص زمن الانقطاع إلى أقل من 5 دقائق</t>
  </si>
  <si>
    <t>تم سد الفجوة التشغيلية والامتثال لمتطلبات ساما</t>
  </si>
  <si>
    <t>بوابة الصيرفة الرقمية (آفاق نت)</t>
  </si>
  <si>
    <t>هجمات حقن التعليمات البرمجية الخبيثة (SQLi &amp; XSS) لسرقة الحسابات</t>
  </si>
  <si>
    <t>وجود ثغرات في الكود البرمجي وضعف التحقق من المدخلات (Input Validation)</t>
  </si>
  <si>
    <t>CI</t>
  </si>
  <si>
    <t>م. فهد العتيبي (إدارة التطبيقات)</t>
  </si>
  <si>
    <t>جدار حماية الويب WAF بقواعد عامة</t>
  </si>
  <si>
    <t>رصد محاولات استغلال متكررة واكتشاف ثغرات حرجة أثناء الفحص الأخير</t>
  </si>
  <si>
    <t>تسريب بيانات العملاء المصرفية وسرقة أموال وعقوبات تنظيمية من ساما</t>
  </si>
  <si>
    <t>إعادة كتابة ومعالجة الكود المصاب، دمج فحص الكود الآلي (SAST/DAST)، وتحديث قواعد FortiWeb WAF</t>
  </si>
  <si>
    <t>A.8.25, A.8.26, A.8.28, A.8.29</t>
  </si>
  <si>
    <t>فريق تطوير البرمجيات وأمن التطبيقات</t>
  </si>
  <si>
    <t>الربع الثاني 2026</t>
  </si>
  <si>
    <t>سد الثغرات وإلزامية بوابة الجودة الأمنية قبل النشر في بيئة الإنتاج</t>
  </si>
  <si>
    <t>حصر صلاحيات قواعد البيانات يحد من نطاق أي استغلال محتمل</t>
  </si>
  <si>
    <t>تم إغلاق كافة الثغرات بنجاح وإعادة الفحص</t>
  </si>
  <si>
    <t>تطبيق الهواتف الذكية المصرفي (آفاق بلس)</t>
  </si>
  <si>
    <t>الهندسة العكسية واعتراض التبادلات المصرفية وتسريب مفاتيح API Keys</t>
  </si>
  <si>
    <t>عدم تفعيل التعتيم البرمجي (Obfuscation) وضعف التحقق من شهادة SSL Pinning</t>
  </si>
  <si>
    <t>تشفير قياسي عبر TLS 1.3</t>
  </si>
  <si>
    <t>انتشار التطبيق لأكثر من 500,000 عميل وسهولة استخراج الحزم البرمجية</t>
  </si>
  <si>
    <t>اختراق حسابات العملاء، تزوير المعاملات، والإضرار بسمعة البنك</t>
  </si>
  <si>
    <t>تفعيل SSL Pinning وحماية التطبيق بأدوات RASP وتعتيم الأكواد وتدوير مفاتيح API دورياً</t>
  </si>
  <si>
    <t>A.8.26, A.8.28, A.8.24</t>
  </si>
  <si>
    <t>قسم تطوير تطبيقات الجوال وأمن المعلومات</t>
  </si>
  <si>
    <t>دمج طبقات الحماية الذاتية ومنع التشغيل على الأجهزة مكسورة الحماية</t>
  </si>
  <si>
    <t>عزل الخدمات وفرض المصادقة الثنائية لكل معاملة</t>
  </si>
  <si>
    <t>تم طرح التحديث الإجباري للتطبيق على المتاجر الرسمية</t>
  </si>
  <si>
    <t>الأجهزة والمعدات</t>
  </si>
  <si>
    <t>الحواسيب المحمولة للموظفين (2,000 لابتوب)</t>
  </si>
  <si>
    <t>سرقة أو فقدان الأجهزة المحمولة وتسريب البيانات الحساسة المخزنة (PII)</t>
  </si>
  <si>
    <t>غياب التشفير الكامل للأقراص الصلبة (عدم تفعيل BitLocker بنسبة 100%)</t>
  </si>
  <si>
    <t>C</t>
  </si>
  <si>
    <t>م. فهد العتيبي (الدعم الفني)</t>
  </si>
  <si>
    <t>تسجيل دخول بكلمة مرور فقط</t>
  </si>
  <si>
    <t>حادثة سابقة لفقدان لابتوب تابع لموظف تسويق احتوى على بيانات عملاء</t>
  </si>
  <si>
    <t>مخالفة جسيمة لنظام حماية البيانات الشخصية وغرامات تنظيمية من سدايا</t>
  </si>
  <si>
    <t>Avoid</t>
  </si>
  <si>
    <t>فرض تشفير BitLocker عبر سياسات GPO بنسبة 100% ومصادرة الأجهزة المخالفة وتفعيل MDM</t>
  </si>
  <si>
    <t>A.8.1, A.8.24, A.7.9</t>
  </si>
  <si>
    <t>قسم الدعم الفني وإدارة الهوية</t>
  </si>
  <si>
    <t>تشفير القرص بمفتاح TPM يمنع استخراج البيانات حتى عند نزع القرص</t>
  </si>
  <si>
    <t>فقدان القيمة المادية للجهاز فقط مع إمكانية مسحه عن بُعد دون تسريب</t>
  </si>
  <si>
    <t>تم التحقق من تشفير كافة الحواسيب المحمولة</t>
  </si>
  <si>
    <t>خدمات الشبكة والبنية التحتية</t>
  </si>
  <si>
    <t>خوادم التوقيت وسجلات الأحداث (NTP &amp; Syslog)</t>
  </si>
  <si>
    <t>تباين التوقيت الزمني بين الخوادم وجدران الحماية مما يعيق التحقيق الجنائي</t>
  </si>
  <si>
    <t>وجود فارق زمني قدره 7 دقائق في الخوادم وغياب مصدر توقيت موحد موثوق</t>
  </si>
  <si>
    <t>I</t>
  </si>
  <si>
    <t>قسم الشبكات والأنظمة</t>
  </si>
  <si>
    <t>ضبط يدوي للتوقيت على بعض الخوادم المحلية</t>
  </si>
  <si>
    <t>تم رصد الفارق الزمني فعلياً أثناء مراجعة حادث انقطاع جدار الحماية</t>
  </si>
  <si>
    <t>فقدان الدقة في تسلسل الأحداث الجنائية ورفض الأدلة الرقمية أمام الجهات التنظيمية</t>
  </si>
  <si>
    <t>نشر خادم توقيت مركزي معتمد (Stratum-1 NTP) ومزامنة كافة أجهزة البنك عبر سياسات مركزية</t>
  </si>
  <si>
    <t>A.8.17, A.8.15</t>
  </si>
  <si>
    <t>م. فهد العتيبي (فريق الشبكات)</t>
  </si>
  <si>
    <t>المزامنة الآلية كل ساعة تضمن عدم حدوث أي انحراف زمني</t>
  </si>
  <si>
    <t>دقة توقيت متطابقة على مستوى الأجزاء من الثانية في كافة السجلات</t>
  </si>
  <si>
    <t>تمت المزامنة بنجاح لجميع خوادم الإنتاج</t>
  </si>
  <si>
    <t>أصول المعلومات والبيانات</t>
  </si>
  <si>
    <t>خوادم وقواعد بيانات الموارد البشرية والرواتب</t>
  </si>
  <si>
    <t>اطلاع الموظفين غير المصرح لهم على رواتب وبيانات الموظفين والتلاعب بها</t>
  </si>
  <si>
    <t>مجلد الرواتب المشترك (HR Shared Folder) مفتوح بصلاحيات واسعة</t>
  </si>
  <si>
    <t>أ. خالد الشمري (الموارد البشرية)</t>
  </si>
  <si>
    <t>صلاحيات مجلدات محلية غير خاضعة للمراجعة</t>
  </si>
  <si>
    <t>رصد وصول غير مصرح به سابقاً لبيانات رواتب الإدارة التنفيذية</t>
  </si>
  <si>
    <t>انتهاك خصوصية البيانات الشخصية وخلافات عمالية ودعاوى قضائية</t>
  </si>
  <si>
    <t>إعادة هيكلة الصلاحيات وفق مبدأ الحاجة إلى المعرفة (Need-to-Know) وتشفير الملفات وتفعيل سجل التدقيق</t>
  </si>
  <si>
    <t>A.5.15, A.5.18, A.5.34, A.8.11</t>
  </si>
  <si>
    <t>فريق إدارة الهوية والوصول (IAM)</t>
  </si>
  <si>
    <t>تقييد الوصول وتطبيق المصادقة الثنائية الصارمة للموارد البشرية</t>
  </si>
  <si>
    <t>انحصار الأثر المحتمل وتفعيل التنبيهات الفورية عند أي محاولة دخول</t>
  </si>
  <si>
    <t>تم تصنيف البيانات كـ 'سري للغاية' وتطبيق سياسة حماية PII</t>
  </si>
  <si>
    <t>خدمات الشبكة والاتصالات</t>
  </si>
  <si>
    <t>شهادات الأمان الرقمية للمواقع (SSL/TLS)</t>
  </si>
  <si>
    <t>توقف بوابات الدفع الإلكتروني والموقع العام وظهور تحذيرات أمنية للعملاء</t>
  </si>
  <si>
    <t>الاعتماد على التتبع اليدوي لتواريخ انتهاء الشهادات الرقمية وغياب التجديد التلقائي</t>
  </si>
  <si>
    <t>A</t>
  </si>
  <si>
    <t>م. فهد العتيبي (البنية التحتية)</t>
  </si>
  <si>
    <t>جدول إكسل يدوي لمتابعة تواريخ انتهاء الصلاحية</t>
  </si>
  <si>
    <t>انتهاء شهادة بوابة سداد سابقاً مما أدى لانقطاع المعاملات لساعات</t>
  </si>
  <si>
    <t>توقف العمليات المصرفية وتضرر سمعة البنك وفقدان ثقة العملاء</t>
  </si>
  <si>
    <t>نشر نظام آلي لإدارة دورة حياة الشهادات الرقمية (CLM) مع تنبيهات مسبقة وتجديد تلقائي</t>
  </si>
  <si>
    <t>A.8.24, A.8.21, A.8.16</t>
  </si>
  <si>
    <t>الأتمتة الكاملة تمنع تماماً نسيان أو تأخير تجديد أي شهادة</t>
  </si>
  <si>
    <t>توفر شهادات بديلة احتياطية جاهزة للتفعيل الفوري</t>
  </si>
  <si>
    <t>تم ربط التنبيهات بمركز العمليات الأمنية SOC</t>
  </si>
  <si>
    <t>شبكة أجهزة الصراف الآلي (150 ATM)</t>
  </si>
  <si>
    <t>تركيب أجهزة نسخ البطاقات (Skimming) أو محاولات الاختراق المادي (Black-Box)</t>
  </si>
  <si>
    <t>غياب أقفال الحماية المشددة في بعض الصرافات الخارجية وضعف تشفير منافذ USB</t>
  </si>
  <si>
    <t>إدارة العمليات المصرفية وأجهزة الصراف</t>
  </si>
  <si>
    <t>كاميرات مراقبة عامة وتشفير لوحة المفاتيح EPP</t>
  </si>
  <si>
    <t>محاولات احتيال متكررة مستهدفة لأجهزة الصراف في القطاع البنكي</t>
  </si>
  <si>
    <t>سرقة أموال العملاء والبنك ومسؤولية تعويض وتضرر السمعة</t>
  </si>
  <si>
    <t>تركيب أجهزة مانعة للنسخ (Anti-Skimming)، تفعيل حماية منافذ USB وقفلها، وتشفير القرص الصلب</t>
  </si>
  <si>
    <t>A.7.8, A.7.10, A.8.1, A.8.20</t>
  </si>
  <si>
    <t>قسم هندسة الصراف الآلي والأمن المادي</t>
  </si>
  <si>
    <t>الحماية المادية والمنطقية المزدوجة تمنع هجمات الصندوق الأسود والنسخ</t>
  </si>
  <si>
    <t>التنبيه الفوري للـ SOC عند أي محاولة فتح لصندوق الجهاز</t>
  </si>
  <si>
    <t>مطبق على 150 صرافاً مع فحص دوري أسبوعي</t>
  </si>
  <si>
    <t>الكوادر البشرية</t>
  </si>
  <si>
    <t>موظفو البنك ومستخدمو البريد (2,500 موظف)</t>
  </si>
  <si>
    <t>هجمات التصيد الاحتيالي المستهدف (Spear Phishing) وسرقة بيانات الدخول</t>
  </si>
  <si>
    <t>ضعف الوعي الأمني لدى بعض الموظفين وغياب زر الإبلاغ عن الرسائل المشبوهة</t>
  </si>
  <si>
    <t>أ. منى الشريف (الموارد البشرية) وأمن المعلومات</t>
  </si>
  <si>
    <t>نشرات توعوية سنوية تقليدية</t>
  </si>
  <si>
    <t>تسجيل نسبة نقر 25% في حملة محاكاة التصيد السابقة خاصة في قطاع التسويق</t>
  </si>
  <si>
    <t>اختراق شبكة البنك الداخلية وتثبيت برمجيات فدية خبيثة وسرقة أرصدة</t>
  </si>
  <si>
    <t>إطلاق منصة تدريب تفاعلية إلزامية، حملات تصيد شهرية، وإضافة زر (Report Phishing) في Outlook</t>
  </si>
  <si>
    <t>A.6.3, A.5.10, A.8.23</t>
  </si>
  <si>
    <t>فريق التوعية الأمنية والموارد البشرية</t>
  </si>
  <si>
    <t>انخفاض معدل النقر إلى أقل من 3% وارتفاع معدل الإبلاغ إلى 92%</t>
  </si>
  <si>
    <t>تصفية البريد الخبيث عبر حواجز الحماية يمنع وصول التهديد للمستخدم</t>
  </si>
  <si>
    <t>تم تدريب 95.3% من الموظفين واجتياز الاختبار بنجاح</t>
  </si>
  <si>
    <t>حسابات وصلاحيات الموظفين المنتهية خدماتهم</t>
  </si>
  <si>
    <t>استغلال موظف سابق لصلاحياته الفعالة للدخول غير المصرح به وتسريب بيانات سرية</t>
  </si>
  <si>
    <t>التأخر في إشعار تقنية المعلومات عند استقالة الموظفين وغياب الربط الآلي</t>
  </si>
  <si>
    <t>أ. خالد الشمري (HR) و م. فهد العتيبي (IT)</t>
  </si>
  <si>
    <t>نموذج ورقي لإخلاء الطرف يتم تمريره يدوياً</t>
  </si>
  <si>
    <t>رصد حسابات لموظفين مستقيلين ظلت نشطة لعدة أسابيع بعد مغادرتهم</t>
  </si>
  <si>
    <t>تسريب بيانات العملاء والاستراتيجيات المصرفية للمنافسين</t>
  </si>
  <si>
    <t>أتمتة إلغاء الحسابات فور تسجيل نهاية الخدمة في نظام HRMS مع تجميد فوري للصلاحيات</t>
  </si>
  <si>
    <t>A.6.5, A.5.18, A.5.16</t>
  </si>
  <si>
    <t>الإلغاء اللحظي الآلي يمنع وجود أي حسابات معلقة بعد انتهاء الخدمة</t>
  </si>
  <si>
    <t>سحب الأجهزة المحمولة والبطاقات فوراً ضمن بروتوكول إخلاء الطرف</t>
  </si>
  <si>
    <t>تم الربط البرمجي بين Oracle HRMS و Active Directory</t>
  </si>
  <si>
    <t>المواقع والمنشآت المادية</t>
  </si>
  <si>
    <t>مركز البيانات الرئيسي بالرياض (الطابق 3)</t>
  </si>
  <si>
    <t>ارتفاع درجات الحرارة أو انقطاع التيار الكهربائي مما يؤدي لتوقف الخوادم</t>
  </si>
  <si>
    <t>تقادم بعض وحدات التكييف (CRAC) وعدم ازدواجية مسارات التغذية لبعض الكبائن</t>
  </si>
  <si>
    <t>إدارة المرافق والخدمات وتقنية المعلومات</t>
  </si>
  <si>
    <t>مولد ديزل احتياطي ووحدات UPS مركزية</t>
  </si>
  <si>
    <t>حدوث إنذارات حرارية سابقة أثناء فصل الصيف في بعض ممرات الكبائن</t>
  </si>
  <si>
    <t>توقف كامل للأعمال المصرفية وخسائر فادحة تتجاوز 10 ملايين ريال يومياً</t>
  </si>
  <si>
    <t>استبدال وحدات التكييف المتقادمة، تطبيق نظام الممرات الباردة والساخنة المغلقة، ومضاعفة مسارات ATS</t>
  </si>
  <si>
    <t>A.7.11, A.7.4, A.7.13</t>
  </si>
  <si>
    <t>قسم المرافق والبنية التحتية</t>
  </si>
  <si>
    <t>توفير وفرة كاملة N+1 في التكييف ومسارات كهرباء مزدوجة معتمدة</t>
  </si>
  <si>
    <t>القدرة على العمل المستمر دون انقطاع حتى في أشد الظروف المناخية</t>
  </si>
  <si>
    <t>تم اختبار التحويل التلقائي للأحمال بنجاح كامل</t>
  </si>
  <si>
    <t>استمرارية الأعمال والتعافي</t>
  </si>
  <si>
    <t>مركز التعافي من الكوارث بجدة (DR Site)</t>
  </si>
  <si>
    <t>تعذر تشغيل الخدمات المصرفية من مركز جدة عند حدوث كارثة في مركز الرياض</t>
  </si>
  <si>
    <t>بطء زمن التعافي (RTO) وعدم إجراء اختبارات محاكاة تشغيل حية شاملة</t>
  </si>
  <si>
    <t>إدارة تقنية المعلومات واستمرارية الأعمال</t>
  </si>
  <si>
    <t>مزامنة قواعد البيانات عبر Oracle Data Guard</t>
  </si>
  <si>
    <t>الاختبارات السابقة كانت جزئية ولم تشمل تحويل كامل حركة العمليات المصرفية</t>
  </si>
  <si>
    <t>فشل استمرارية الأعمال وفقدان الترخيص المصرفي وغرامات باهظة من ساما</t>
  </si>
  <si>
    <t>ترقية خطوط الربط الفائقة، أتمتة إجراءات التحويل (Failover)، وإجراء محاكاة تشغيل حية مرتين سنوياً</t>
  </si>
  <si>
    <t>A.5.29, A.5.30, A.8.14</t>
  </si>
  <si>
    <t>فريق استمرارية الأعمال وتقنية المعلومات</t>
  </si>
  <si>
    <t>الربع الثالث 2026</t>
  </si>
  <si>
    <t>In Progress</t>
  </si>
  <si>
    <t>نجاح اختبار التحويل وتحقيق RTO أقل من 30 دقيقة و RPO يقارب الصفر</t>
  </si>
  <si>
    <t>ضمان تشغيل 100% من الخدمات الحيوية دون انقطاع ملموس للعملاء</t>
  </si>
  <si>
    <t>التدريب العملي القادم مجدول في أكتوبر 2026</t>
  </si>
  <si>
    <t>الخدمات السحابية</t>
  </si>
  <si>
    <t>البيئة السحابية للخدمات المصرفية (AWS Middle East)</t>
  </si>
  <si>
    <t>تعرض حاويات التخزين السحابي (S3 Buckets) للاختراق أو تسريب مفاتيح IAM</t>
  </si>
  <si>
    <t>أخطاء التكوين الأمني (Misconfigurations) وضعف إدارة صلاحيات الوصول السحابي</t>
  </si>
  <si>
    <t>م. فهد العتيبي (فريق السحابة والتحول)</t>
  </si>
  <si>
    <t>سياسات الوصول الافتراضية لحساب AWS</t>
  </si>
  <si>
    <t>الثغرات السحابية تمثل الهدف الأول للمهاجمين وفق تقارير التهديدات السيبرانية</t>
  </si>
  <si>
    <t>تسريب بيانات مالية لآلاف العملاء وغرامات سدايا تصل إلى 5 ملايين ريال</t>
  </si>
  <si>
    <t>تفعيل أدوات إدارة الوضع الأمني السحابي (CSPM)، فرض المصادقة MFA، وتشفير كافة البيانات بمفاتيح KMS</t>
  </si>
  <si>
    <t>A.5.23, A.8.2, A.8.24</t>
  </si>
  <si>
    <t>مهندس أمن السحابة وفريق الأمن السيبراني</t>
  </si>
  <si>
    <t>المراقبة الآلية المستمرة لأي خطأ في التهيئة وإغلاق المنافذ فوراً</t>
  </si>
  <si>
    <t>تشفير البيانات يجعلها غير قابلة للقراءة في حال الوصول غير المصرح به</t>
  </si>
  <si>
    <t>متوافق مع إطار الأمن السيبراني للحوسبة السحابية (CCC) من NCA</t>
  </si>
  <si>
    <t>النسخ الاحتياطية المصرفية وأشرطة التخزين</t>
  </si>
  <si>
    <t>تلف أو فقدان وسائط النسخ الاحتياطي أثناء النقل أو تعذر استرجاع البيانات</t>
  </si>
  <si>
    <t>نقل بعض وسائط التخزين خارج الموقع دون تشفير قوي وعدم اختبار دورية الاسترجاع</t>
  </si>
  <si>
    <t>IA</t>
  </si>
  <si>
    <t>قسم العمليات والنسخ الاحتياطي</t>
  </si>
  <si>
    <t>نسخ احتياطي يومي مجدول</t>
  </si>
  <si>
    <t>حدوث بطء في استرجاع إحدى قواعد البيانات التجريبية في اختبار سابق</t>
  </si>
  <si>
    <t>فقدان بيانات العمليات المصرفية اليومية وتعطل التسويات المالية</t>
  </si>
  <si>
    <t>تشفير كافة النسخ الاحتياطية بتقنية AES-256، استخدام النقل الشبكي المشفر، واختبار استرجاع شهري إلزامي</t>
  </si>
  <si>
    <t>A.8.13, A.7.10, A.8.24</t>
  </si>
  <si>
    <t>مسؤول النسخ الاحتياطي وقواعد البيانات</t>
  </si>
  <si>
    <t>التشفير التلقائي والاختبار الشهري الموثق يضمن سلامة واسترجاع البيانات</t>
  </si>
  <si>
    <t>توفر 3 نسخ في موقعين جغرافيين وفق استراتيجية 3-2-1</t>
  </si>
  <si>
    <t>تمت المصادقة على سياسة النسخ الاحتياطي المحدثة</t>
  </si>
  <si>
    <t>البرمجيات وقواعد البيانات</t>
  </si>
  <si>
    <t>بيئات التطوير والاختبار (UAT &amp; Dev)</t>
  </si>
  <si>
    <t>تسريب بيانات العملاء الحقيقية عبر بيئات الاختبار غير المحمية</t>
  </si>
  <si>
    <t>استخدام بيانات إنتاجية حقيقية غير مموهة (Unmasked Data) في اختبار الأنظمة الجديدة</t>
  </si>
  <si>
    <t>م. فهد العتيبي (إدارة التطوير والجودة)</t>
  </si>
  <si>
    <t>عزل شبكي منطقي بين بيئة التطوير والإنتاج</t>
  </si>
  <si>
    <t>ممارسة اعتيادية للمطورين لنسخ قواعد البيانات لتسهيل تجربة الميزات</t>
  </si>
  <si>
    <t>انتهاك مباشر لمتطلبات ساما وسدايا وتسريب أرقام الهويات والحسابات</t>
  </si>
  <si>
    <t>تطبيق حلول حجب وتمويه البيانات آلياً (Data Masking) وحظر استخدام بيانات الإنتاج الحقيقية تماماً</t>
  </si>
  <si>
    <t>A.8.31, A.8.33, A.8.11, A.5.34</t>
  </si>
  <si>
    <t>فريق أمن البيانات وقسم ضبط الجودة</t>
  </si>
  <si>
    <t>التمويه الكامل للأرقام والأسماء يمنع كشف أي هوية حقيقية</t>
  </si>
  <si>
    <t>بيانات الاختبار وهمية بالكامل ولا تسبب أي ضرر في حال تسريبها</t>
  </si>
  <si>
    <t>تم تفعيل سياسة الفصل التام بين بيئات العمل</t>
  </si>
  <si>
    <t>أجهزة ونظم الفروع</t>
  </si>
  <si>
    <t>طرفيات وأجهزة خدمة العملاء بالفروع (25 فرعاً)</t>
  </si>
  <si>
    <t>اختلاس النظر وسرقة بيانات المعاملات أثناء غياب موظف الفرع عن مكتبه</t>
  </si>
  <si>
    <t>ترك الشاشات مفتوحة دون قفل وعدم تطبيق سياسة المكتب والشاشة النظيفة</t>
  </si>
  <si>
    <t>إدارة شبكة الفروع المصرفية</t>
  </si>
  <si>
    <t>توجيهات شفهية للموظفين</t>
  </si>
  <si>
    <t>ملاحظة ترك شاشات مفتوحة في بعض الفروع أثناء جولات التفتيش الداخلي</t>
  </si>
  <si>
    <t>تسريب بيانات العملاء المراجعين واختراق خصوصيتهم</t>
  </si>
  <si>
    <t>تفعيل القفل التلقائي للشاشات بعد دقيقة واحدة عبر GPO وتركيب فلاتر الخصوصية وتكثيف التفتيش</t>
  </si>
  <si>
    <t>A.7.7, A.8.1, A.7.2</t>
  </si>
  <si>
    <t>مديرو الفروع وقسم الدعم الفني</t>
  </si>
  <si>
    <t>القفل الإجباري الآلي يمنع استغلال غياب الموظف عن مكتبه</t>
  </si>
  <si>
    <t>فلاتر الخصوصية تمنع الرؤية الجانبية من قبل العملاء في صالات الفروع</t>
  </si>
  <si>
    <t>تم إصدار تعميم إداري ملزم وتطبيق عقوبات للمخالفين</t>
  </si>
  <si>
    <t>العلاقات مع الموردين</t>
  </si>
  <si>
    <t>خدمات الدعم والصيانة المقدمة من الموردين الخارجيين</t>
  </si>
  <si>
    <t>اختراق شبكة البنك عبر استغلال ثغرة في أنظمة الموردين المتعاقدين (Supply Chain)</t>
  </si>
  <si>
    <t>غياب تقييم المخاطر السيبرانية للموردين وضعف اشتراطات الأمن في العقود</t>
  </si>
  <si>
    <t>إدارة المشتريات والعقود وأمن المعلومات</t>
  </si>
  <si>
    <t>بنود سرية عامة دون إلزام بضوابط أمنية محددة</t>
  </si>
  <si>
    <t>تزايد هجمات سلاسل الإمداد التي ضربت العديد من المؤسسات المالية عالمياً</t>
  </si>
  <si>
    <t>تسريب بيانات البنك أو تعطيل الأنظمة عبر حسابات الدعم الفني للموردين</t>
  </si>
  <si>
    <t>إدراج ملحق أمني إلزامي في كافة العقود، فرض فحص أمني سنوي للموردين، وتقييد الوصول عن بُعد</t>
  </si>
  <si>
    <t>A.5.19, A.5.20, A.5.21, A.5.22</t>
  </si>
  <si>
    <t>قسم حوكمة الموردين وإدارة المخاطر</t>
  </si>
  <si>
    <t>الوصول للموردين يتم حصراً عبر بوابة PAM بموافقة مسبقة ومراقبة مسجلة</t>
  </si>
  <si>
    <t>عزل شبكة الموردين ومنع النفاذ للشبكات الداخلية الحساسة</t>
  </si>
  <si>
    <t>تم تحديث وثائق العقود لـ 45 مورداً معتمداً</t>
  </si>
  <si>
    <t>الكوادر البشرية والصلاحيات</t>
  </si>
  <si>
    <t>الحسابات ذات الامتيازات العالية (Admin Accounts)</t>
  </si>
  <si>
    <t>إساءة استخدام الصلاحيات الفائقة أو اختراق حساب مدير النظام والسيطرة على الخوادم</t>
  </si>
  <si>
    <t>مشاركة بعض الحسابات العامة وضعف مراقبة الجلسات الإدارية المباشرة</t>
  </si>
  <si>
    <t>أ. سارة الحربي (CISO) و م. فهد العتيبي (CIO)</t>
  </si>
  <si>
    <t>استخدام كلمات مرور معقدة تتغير كل 90 يوماً</t>
  </si>
  <si>
    <t>خطورة الصلاحيات المطلقة وإمكانية ارتكاب أخطاء أو أعمال تخريبية متعمدة</t>
  </si>
  <si>
    <t>شلل كامل للبنك وتدمير قواعد البيانات وسرقة أموال طائلة</t>
  </si>
  <si>
    <t>نشر نظام إدارة الوصول المميز (CyberArk PAM)، تدوير كلمات المرور تلقائياً، وتسجيل جلسات الفيديو</t>
  </si>
  <si>
    <t>A.8.2, A.5.17, A.8.18, A.8.15</t>
  </si>
  <si>
    <t>فريق أمن العمليات وإدارة الهوية</t>
  </si>
  <si>
    <t>استحالة معرفة كلمة المرور المباشرة وتوثيق كل أمر ينفذه المسؤول</t>
  </si>
  <si>
    <t>القدرة على قطع أي جلسة مشبوهة فوراً من قبل مركز العمليات SOC</t>
  </si>
  <si>
    <t>مطبق بنجاح على كافة خوادم البنك وقواعد البيانات</t>
  </si>
  <si>
    <t>واجهات البرمجة المفتوحة</t>
  </si>
  <si>
    <t>منصة الصيرفة المفتوحة والربط مع FinTech</t>
  </si>
  <si>
    <t>هجمات حجب الخدمة (DDoS) أو استنزاف واجهات البرمجة وسرقة بيانات الحسابات</t>
  </si>
  <si>
    <t>غياب تحديد معدل الطلبات (Rate Limiting) وضعف فحص شهادات النفاذ المتبادل (mTLS)</t>
  </si>
  <si>
    <t>CA</t>
  </si>
  <si>
    <t>إدارة الابتكار والخدمات الرقمية</t>
  </si>
  <si>
    <t>مصادقة OAuth 2.0 قياسية</t>
  </si>
  <si>
    <t>تزايد التعاملات مع شركات FinTech وتوسع متطلبات الصيرفة المفتوحة لساما</t>
  </si>
  <si>
    <t>انقطاع الخدمات المصرفية المفتوحة وعقوبات تنظيمية ومسؤولية قانونية</t>
  </si>
  <si>
    <t>تطبيق بوابة API Gateway متقدمة تدعم mTLS وتحديد معدل الاستهلاك والتكامل مع WAF</t>
  </si>
  <si>
    <t>A.8.26, A.8.20, A.8.5</t>
  </si>
  <si>
    <t>مهندسو واجهات البرمجة وأمن التطبيقات</t>
  </si>
  <si>
    <t>منع أي تدفق زائد وفحص سلامة التبادلات اللحظية المشفرة</t>
  </si>
  <si>
    <t>استقرار النظام وضمان عدم تأثير أي هجوم على الأنظمة المصرفية الداخلية</t>
  </si>
  <si>
    <t>متوافق 100% مع معايير الصيرفة المفتوحة الصادرة عن ساما</t>
  </si>
  <si>
    <t>المراقبة والاستجابة للحوادث</t>
  </si>
  <si>
    <t>مركز العمليات الأمنية ونظام إدارة الأحداث (SOC/SIEM)</t>
  </si>
  <si>
    <t>تأخر اكتشاف الهجمات المتقدمة (APTs) وتسلل المهاجمين دون رصد لفترات طويلة</t>
  </si>
  <si>
    <t>غياب قواعد الارتباط الذكية (Correlation Rules) ونقص الكوادر في المناوبات الليلية</t>
  </si>
  <si>
    <t>أ. سارة الحربي (مدير أمن المعلومات)</t>
  </si>
  <si>
    <t>مراقبة اعتيادية لسجلات الأحداث مع إنذارات مفرطة</t>
  </si>
  <si>
    <t>الهجمات السيبرانية المنظمة تستغل العطلات وساعات الليل لتنفيذ الاختراقات</t>
  </si>
  <si>
    <t>تفاقم الحوادث السيبرانية وصعوبة احتوائها بعد انتشارها في الشبكة</t>
  </si>
  <si>
    <t>ترقية نظام SIEM/SOAR، تفعيل كشف السلوك غير الطبيعي (UEBA)، وتغطية SOC مدار على مدار الساعة</t>
  </si>
  <si>
    <t>A.8.16, A.5.24, A.5.25, A.5.26</t>
  </si>
  <si>
    <t>مدير مركز العمليات الأمنية SOC</t>
  </si>
  <si>
    <t>الكشف اللحظي والاستجابة المؤتمتة خلال دقائق يمنع تمكن المهاجمين</t>
  </si>
  <si>
    <t>تقليص زمن الاحتواء وعزل الأنظمة المصابة فوراً قبل انتشار التهديد</t>
  </si>
  <si>
    <t>تم تحقيق زمن استجابة (MTTR) أقل من 15 دقيقة للحوادث الحرجة</t>
  </si>
  <si>
    <t>الإجمالي</t>
  </si>
  <si>
    <t>إجمالي ميزانية خطة معالجة المخاطر المعتمدة من الإدارة العليا</t>
  </si>
  <si>
    <t>لوحة مؤشرات وملخص تقييم ومعالجة المخاطر (Risk Dashboard)</t>
  </si>
  <si>
    <t>ملخص أعداد المخاطر قبل وبعد المعالجة (Pre vs Post-Treatment)</t>
  </si>
  <si>
    <t>العدد قبل المعالجة
Pre-Treatment</t>
  </si>
  <si>
    <t>النسبة %
Pre %</t>
  </si>
  <si>
    <t>العدد بعد المعالجة
Post-Treatment</t>
  </si>
  <si>
    <t>النسبة %
Post %</t>
  </si>
  <si>
    <t>عالي (HIGH)</t>
  </si>
  <si>
    <t>متوسط (MEDIUM)</t>
  </si>
  <si>
    <t>منخفض (LOW)</t>
  </si>
  <si>
    <t>الإجمالي الكلي (Total)</t>
  </si>
  <si>
    <t>توزيع المخاطر حسب خيار المعالجة المعتمد (Risks by Treatment Option)</t>
  </si>
  <si>
    <t>خيار المعالجة
Option</t>
  </si>
  <si>
    <t>عدد المخاطر
Count</t>
  </si>
  <si>
    <t>النسبة %
Percentage</t>
  </si>
  <si>
    <t>إجمالي التكلفة التقديرية
Total Cost</t>
  </si>
  <si>
    <t>تعديل / تخفيف (Modify)</t>
  </si>
  <si>
    <t>قبول الخطر (Accept)</t>
  </si>
  <si>
    <t>تجنب الخطر (Avoid)</t>
  </si>
  <si>
    <t>مشاركة / نقل الخطر (Share)</t>
  </si>
  <si>
    <t>الإجمالي الكلي لميزانية المعالجة</t>
  </si>
  <si>
    <t>مقياس احتمالية وقوع الخطر (Likelihood Scale)</t>
  </si>
  <si>
    <t>الدرجة</t>
  </si>
  <si>
    <t>المستوى</t>
  </si>
  <si>
    <t>الوصف والتكرار الزمني</t>
  </si>
  <si>
    <t>نادر جداً (Remote / Rare)</t>
  </si>
  <si>
    <t>من غير المحتمل إطلاقاً حدوث الخطر (مرة كل 5 سنوات أو أكثر)</t>
  </si>
  <si>
    <t>غير مرجح (Unlikely)</t>
  </si>
  <si>
    <t>فرصة الحدوث منخفضة في الظروف العادية (مرة كل 2 إلى 3 سنوات)</t>
  </si>
  <si>
    <t>محتمل (Moderate / Possible)</t>
  </si>
  <si>
    <t>احتمالية معتدلة متساوية للوقوع في بيئة العمل (مرة سنوياً)</t>
  </si>
  <si>
    <t>مرجح (Likely / Probable)</t>
  </si>
  <si>
    <t>احتمالية الوقوع تفوق عدم الوقوع وتوجد سوابق (عدة مرات سنوياً)</t>
  </si>
  <si>
    <t>شبه مؤكد (Almost Certain)</t>
  </si>
  <si>
    <t>الخطر شبه مؤكد الحدوث بشكل متكرر وتوجد حوادث سابقة تؤكد ذلك</t>
  </si>
  <si>
    <t>مقياس مستوى الأثر والعواقب المصرفية (Impact Scale)</t>
  </si>
  <si>
    <t>مستوى الأثر</t>
  </si>
  <si>
    <t>الخسائر المالية</t>
  </si>
  <si>
    <t>التأثير التشغيلي والتنظيمي</t>
  </si>
  <si>
    <t>ضئيل (Insignificant)</t>
  </si>
  <si>
    <t>أقل من 50,000 ر.س</t>
  </si>
  <si>
    <t>أثر مهمل لا يسبب أي انقطاع في الأعمال المصرفية</t>
  </si>
  <si>
    <t>منخفض / طفيف (Minor)</t>
  </si>
  <si>
    <t>50,000 - 250,000 ر.س</t>
  </si>
  <si>
    <t>إزعاج طفيف يمكن معالجته عبر الإجراءات الروتينية</t>
  </si>
  <si>
    <t>متوسط (Moderate)</t>
  </si>
  <si>
    <t>250,000 - 1,000,000 ر.س</t>
  </si>
  <si>
    <t>تعطل مؤقت في بعض الخدمات مع وجود بدائل تشغيلية</t>
  </si>
  <si>
    <t>كبير / عالي (Major)</t>
  </si>
  <si>
    <t>1 - 5 ملايين ر.س</t>
  </si>
  <si>
    <t>تعطل جسيم في الخدمات الحيوية وغرامات مشددة من ساما</t>
  </si>
  <si>
    <t>كارثي (Catastrophic)</t>
  </si>
  <si>
    <t>تتجاوز 5 ملايين ر.س</t>
  </si>
  <si>
    <t>شلل كامل يهدد استقرار البنك ومساءلة قضائية وسحب الترخيص</t>
  </si>
  <si>
    <t>أداة تقييم ومعالجة المخاطر المبنية على الأصول</t>
  </si>
  <si>
    <t xml:space="preserve">توصيف الخطر الأمني </t>
  </si>
  <si>
    <t xml:space="preserve">الرقم
</t>
  </si>
  <si>
    <t xml:space="preserve">مجموعة الأصول
</t>
  </si>
  <si>
    <t xml:space="preserve">الأصل المستهدف
</t>
  </si>
  <si>
    <t xml:space="preserve">التهديد الأمني
</t>
  </si>
  <si>
    <t xml:space="preserve">نقطة الضعف / الثغرة
</t>
  </si>
  <si>
    <t xml:space="preserve">نوع الخطر
</t>
  </si>
  <si>
    <t xml:space="preserve">مالك الخطر
</t>
  </si>
  <si>
    <t xml:space="preserve">الضوابط القائمة
</t>
  </si>
  <si>
    <t xml:space="preserve">الاحتمالية
</t>
  </si>
  <si>
    <t xml:space="preserve">مبررات الاحتمالية
</t>
  </si>
  <si>
    <t xml:space="preserve">مستوى الأثر
</t>
  </si>
  <si>
    <t xml:space="preserve">مبررات الأثر
</t>
  </si>
  <si>
    <t xml:space="preserve">درجة الخطر
</t>
  </si>
  <si>
    <t xml:space="preserve">مستوى الخطر
</t>
  </si>
  <si>
    <t xml:space="preserve">خيار المعالجة
Treatment Option </t>
  </si>
  <si>
    <t xml:space="preserve">إجراء المعالجة المقترح
</t>
  </si>
  <si>
    <t xml:space="preserve">مرجع ضوابط الملحق </t>
  </si>
  <si>
    <t xml:space="preserve">خطة المعالجة </t>
  </si>
  <si>
    <t>تكلفة المعالجة ر.س</t>
  </si>
  <si>
    <t xml:space="preserve">المسؤول عن التنفيذ
</t>
  </si>
  <si>
    <t xml:space="preserve">الجدول الزمني
</t>
  </si>
  <si>
    <t xml:space="preserve">نسبة الإنجاز
</t>
  </si>
  <si>
    <t xml:space="preserve">التصنيف الأمني </t>
  </si>
  <si>
    <t xml:space="preserve">عنوان تقييم المخاطر </t>
  </si>
  <si>
    <t xml:space="preserve">نطاق تقييم المخاطر </t>
  </si>
  <si>
    <t xml:space="preserve">سياق تقييم المخاطر </t>
  </si>
  <si>
    <t xml:space="preserve">معايير قبول المخاطر </t>
  </si>
  <si>
    <t xml:space="preserve">رقم الإصدار </t>
  </si>
  <si>
    <t xml:space="preserve">تاريخ التقييم </t>
  </si>
  <si>
    <t xml:space="preserve">مقيمو المخاطر </t>
  </si>
  <si>
    <t xml:space="preserve">المشاركون في التقييم </t>
  </si>
  <si>
    <t xml:space="preserve">الاعتماد والمصادقة </t>
  </si>
  <si>
    <t xml:space="preserve">تاريخ الاعتماد </t>
  </si>
  <si>
    <t xml:space="preserve">سري للاستخدام الداخلي </t>
  </si>
  <si>
    <t xml:space="preserve">تفاصيل التقييم وسياق نظام إدارة أمن المعلومات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</si>
</sst>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ر.س&quot;"/>
    <numFmt numFmtId="165" formatCode="0.0%"/>
  </numFmts>
  <fonts count="14" x14ac:knownFonts="1">
    <font>
      <sz val="11"/>
      <color theme="1"/>
      <name val="Arial"/>
      <family val="2"/>
      <scheme val="minor"/>
    </font>
    <font>
      <b/>
      <sz val="11"/>
      <color rgb="FF204D53"/>
      <name val="Arial"/>
    </font>
    <font>
      <sz val="8.5"/>
      <color rgb="FF101010"/>
      <name val="Arial"/>
    </font>
    <font>
      <b/>
      <sz val="14"/>
      <color rgb="FF204D53"/>
      <name val="Arial"/>
    </font>
    <font>
      <b/>
      <sz val="8.5"/>
      <color rgb="FF000000"/>
      <name val="Arial"/>
    </font>
    <font>
      <b/>
      <sz val="9"/>
      <color rgb="FFFFFFFF"/>
      <name val="Arial"/>
    </font>
    <font>
      <b/>
      <sz val="9"/>
      <color rgb="FFC00000"/>
      <name val="Arial"/>
    </font>
    <font>
      <b/>
      <sz val="9"/>
      <color rgb="FFB25900"/>
      <name val="Arial"/>
    </font>
    <font>
      <b/>
      <sz val="9"/>
      <color rgb="FF375623"/>
      <name val="Arial"/>
    </font>
    <font>
      <b/>
      <sz val="12"/>
      <color rgb="FF204D53"/>
      <name val="Arial"/>
      <family val="2"/>
    </font>
    <font>
      <b/>
      <sz val="12"/>
      <color theme="1"/>
      <name val="Arial"/>
      <family val="2"/>
      <scheme val="minor"/>
    </font>
    <font>
      <b/>
      <sz val="12"/>
      <color rgb="FF101010"/>
      <name val="Arial"/>
      <family val="2"/>
    </font>
    <font>
      <b/>
      <sz val="12"/>
      <color rgb="FFFFFFFF"/>
      <name val="Arial"/>
      <family val="2"/>
    </font>
    <font>
      <b/>
      <sz val="12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D9EDF0"/>
        <bgColor rgb="FFD9EDF0"/>
      </patternFill>
    </fill>
    <fill>
      <patternFill patternType="solid">
        <fgColor rgb="FFFFFFFF"/>
        <bgColor rgb="FFFFFFFF"/>
      </patternFill>
    </fill>
    <fill>
      <patternFill patternType="solid">
        <fgColor rgb="FF1F4E79"/>
        <bgColor rgb="FF1F4E79"/>
      </patternFill>
    </fill>
    <fill>
      <patternFill patternType="solid">
        <fgColor rgb="FFC00000"/>
        <bgColor rgb="FFC00000"/>
      </patternFill>
    </fill>
    <fill>
      <patternFill patternType="solid">
        <fgColor rgb="FF2E75B6"/>
        <bgColor rgb="FF2E75B6"/>
      </patternFill>
    </fill>
    <fill>
      <patternFill patternType="solid">
        <fgColor rgb="FF375623"/>
        <bgColor rgb="FF375623"/>
      </patternFill>
    </fill>
    <fill>
      <patternFill patternType="solid">
        <fgColor rgb="FF595959"/>
        <bgColor rgb="FF595959"/>
      </patternFill>
    </fill>
    <fill>
      <patternFill patternType="solid">
        <fgColor rgb="FF8B0000"/>
        <bgColor rgb="FF8B0000"/>
      </patternFill>
    </fill>
    <fill>
      <patternFill patternType="solid">
        <fgColor rgb="FF1E562A"/>
        <bgColor rgb="FF1E562A"/>
      </patternFill>
    </fill>
    <fill>
      <patternFill patternType="solid">
        <fgColor rgb="FFF9FBFB"/>
        <bgColor rgb="FFF9FBFB"/>
      </patternFill>
    </fill>
    <fill>
      <patternFill patternType="solid">
        <fgColor rgb="FF367C85"/>
        <bgColor rgb="FF367C85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3">
    <border>
      <left/>
      <right/>
      <top/>
      <bottom/>
      <diagonal/>
    </border>
    <border>
      <left style="thin">
        <color rgb="FFC0D0D2"/>
      </left>
      <right style="thin">
        <color rgb="FFC0D0D2"/>
      </right>
      <top style="thin">
        <color rgb="FFC0D0D2"/>
      </top>
      <bottom style="thin">
        <color rgb="FFC0D0D2"/>
      </bottom>
      <diagonal/>
    </border>
    <border>
      <left style="thin">
        <color rgb="FFC0D0D2"/>
      </left>
      <right style="thin">
        <color rgb="FFC0D0D2"/>
      </right>
      <top style="thin">
        <color rgb="FFC0D0D2"/>
      </top>
      <bottom style="medium">
        <color rgb="FF367C85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3" fillId="0" borderId="0" xfId="0" applyFont="1"/>
    <xf numFmtId="0" fontId="5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right" vertical="center" wrapText="1"/>
    </xf>
    <xf numFmtId="0" fontId="8" fillId="15" borderId="1" xfId="0" applyFont="1" applyFill="1" applyBorder="1" applyAlignment="1">
      <alignment horizontal="right" vertical="center" wrapText="1"/>
    </xf>
    <xf numFmtId="0" fontId="1" fillId="12" borderId="2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1" fillId="2" borderId="2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readingOrder="2"/>
    </xf>
    <xf numFmtId="0" fontId="10" fillId="0" borderId="0" xfId="0" applyFont="1" applyAlignment="1">
      <alignment readingOrder="2"/>
    </xf>
    <xf numFmtId="0" fontId="9" fillId="2" borderId="1" xfId="0" applyFont="1" applyFill="1" applyBorder="1" applyAlignment="1">
      <alignment horizontal="right" vertical="center" wrapText="1" readingOrder="2"/>
    </xf>
    <xf numFmtId="0" fontId="11" fillId="3" borderId="1" xfId="0" applyFont="1" applyFill="1" applyBorder="1" applyAlignment="1">
      <alignment horizontal="right" vertical="center" wrapText="1" readingOrder="2"/>
    </xf>
    <xf numFmtId="0" fontId="12" fillId="12" borderId="1" xfId="0" applyFont="1" applyFill="1" applyBorder="1" applyAlignment="1">
      <alignment horizontal="center" vertical="center" wrapText="1" readingOrder="2"/>
    </xf>
    <xf numFmtId="0" fontId="11" fillId="0" borderId="1" xfId="0" applyFont="1" applyBorder="1" applyAlignment="1">
      <alignment horizontal="center" vertical="center" wrapText="1" readingOrder="2"/>
    </xf>
    <xf numFmtId="0" fontId="11" fillId="0" borderId="1" xfId="0" applyFont="1" applyBorder="1" applyAlignment="1">
      <alignment horizontal="right" vertical="center" wrapText="1" readingOrder="2"/>
    </xf>
    <xf numFmtId="0" fontId="9" fillId="0" borderId="0" xfId="0" applyFont="1" applyAlignment="1">
      <alignment horizontal="center" vertical="center" wrapText="1" readingOrder="2"/>
    </xf>
    <xf numFmtId="0" fontId="12" fillId="4" borderId="1" xfId="0" applyFont="1" applyFill="1" applyBorder="1" applyAlignment="1">
      <alignment horizontal="center" vertical="center" wrapText="1" readingOrder="2"/>
    </xf>
    <xf numFmtId="0" fontId="12" fillId="6" borderId="1" xfId="0" applyFont="1" applyFill="1" applyBorder="1" applyAlignment="1">
      <alignment horizontal="center" vertical="center" wrapText="1" readingOrder="2"/>
    </xf>
    <xf numFmtId="0" fontId="12" fillId="8" borderId="1" xfId="0" applyFont="1" applyFill="1" applyBorder="1" applyAlignment="1">
      <alignment horizontal="center" vertical="center" wrapText="1" readingOrder="2"/>
    </xf>
    <xf numFmtId="0" fontId="12" fillId="9" borderId="1" xfId="0" applyFont="1" applyFill="1" applyBorder="1" applyAlignment="1">
      <alignment horizontal="center" vertical="center" wrapText="1" readingOrder="2"/>
    </xf>
    <xf numFmtId="0" fontId="12" fillId="10" borderId="1" xfId="0" applyFont="1" applyFill="1" applyBorder="1" applyAlignment="1">
      <alignment horizontal="center" vertical="center" wrapText="1" readingOrder="2"/>
    </xf>
    <xf numFmtId="0" fontId="13" fillId="3" borderId="1" xfId="0" applyFont="1" applyFill="1" applyBorder="1" applyAlignment="1">
      <alignment horizontal="center" vertical="center" wrapText="1" readingOrder="2"/>
    </xf>
    <xf numFmtId="0" fontId="13" fillId="3" borderId="1" xfId="0" applyFont="1" applyFill="1" applyBorder="1" applyAlignment="1">
      <alignment horizontal="right" vertical="center" wrapText="1" readingOrder="2"/>
    </xf>
    <xf numFmtId="164" fontId="13" fillId="3" borderId="1" xfId="0" applyNumberFormat="1" applyFont="1" applyFill="1" applyBorder="1" applyAlignment="1">
      <alignment horizontal="center" vertical="center" wrapText="1" readingOrder="2"/>
    </xf>
    <xf numFmtId="9" fontId="13" fillId="3" borderId="1" xfId="0" applyNumberFormat="1" applyFont="1" applyFill="1" applyBorder="1" applyAlignment="1">
      <alignment horizontal="center" vertical="center" wrapText="1" readingOrder="2"/>
    </xf>
    <xf numFmtId="0" fontId="13" fillId="11" borderId="1" xfId="0" applyFont="1" applyFill="1" applyBorder="1" applyAlignment="1">
      <alignment horizontal="center" vertical="center" wrapText="1" readingOrder="2"/>
    </xf>
    <xf numFmtId="0" fontId="13" fillId="11" borderId="1" xfId="0" applyFont="1" applyFill="1" applyBorder="1" applyAlignment="1">
      <alignment horizontal="right" vertical="center" wrapText="1" readingOrder="2"/>
    </xf>
    <xf numFmtId="164" fontId="13" fillId="11" borderId="1" xfId="0" applyNumberFormat="1" applyFont="1" applyFill="1" applyBorder="1" applyAlignment="1">
      <alignment horizontal="center" vertical="center" wrapText="1" readingOrder="2"/>
    </xf>
    <xf numFmtId="9" fontId="13" fillId="11" borderId="1" xfId="0" applyNumberFormat="1" applyFont="1" applyFill="1" applyBorder="1" applyAlignment="1">
      <alignment horizontal="center" vertical="center" wrapText="1" readingOrder="2"/>
    </xf>
    <xf numFmtId="164" fontId="12" fillId="6" borderId="2" xfId="0" applyNumberFormat="1" applyFont="1" applyFill="1" applyBorder="1" applyAlignment="1">
      <alignment horizontal="center" vertical="center" wrapText="1" readingOrder="2"/>
    </xf>
    <xf numFmtId="0" fontId="11" fillId="3" borderId="1" xfId="0" applyFont="1" applyFill="1" applyBorder="1" applyAlignment="1">
      <alignment horizontal="center" vertical="center" wrapText="1" readingOrder="2"/>
    </xf>
    <xf numFmtId="0" fontId="11" fillId="11" borderId="1" xfId="0" applyFont="1" applyFill="1" applyBorder="1" applyAlignment="1">
      <alignment horizontal="right" vertical="center" wrapText="1" readingOrder="2"/>
    </xf>
    <xf numFmtId="0" fontId="11" fillId="11" borderId="1" xfId="0" applyFont="1" applyFill="1" applyBorder="1" applyAlignment="1">
      <alignment horizontal="center" vertical="center" wrapText="1" readingOrder="2"/>
    </xf>
    <xf numFmtId="0" fontId="11" fillId="3" borderId="1" xfId="0" applyFont="1" applyFill="1" applyBorder="1" applyAlignment="1">
      <alignment horizontal="right" vertical="center" wrapText="1" readingOrder="2"/>
    </xf>
    <xf numFmtId="0" fontId="10" fillId="0" borderId="1" xfId="0" applyFont="1" applyBorder="1" applyAlignment="1">
      <alignment readingOrder="2"/>
    </xf>
    <xf numFmtId="0" fontId="12" fillId="5" borderId="1" xfId="0" applyFont="1" applyFill="1" applyBorder="1" applyAlignment="1">
      <alignment horizontal="center" vertical="center" wrapText="1" readingOrder="2"/>
    </xf>
    <xf numFmtId="0" fontId="9" fillId="0" borderId="0" xfId="0" applyFont="1" applyAlignment="1">
      <alignment horizontal="center" vertical="center" wrapText="1" readingOrder="2"/>
    </xf>
    <xf numFmtId="0" fontId="10" fillId="0" borderId="0" xfId="0" applyFont="1" applyAlignment="1">
      <alignment readingOrder="2"/>
    </xf>
    <xf numFmtId="0" fontId="12" fillId="7" borderId="1" xfId="0" applyFont="1" applyFill="1" applyBorder="1" applyAlignment="1">
      <alignment horizontal="center" vertical="center" wrapText="1" readingOrder="2"/>
    </xf>
    <xf numFmtId="0" fontId="12" fillId="4" borderId="1" xfId="0" applyFont="1" applyFill="1" applyBorder="1" applyAlignment="1">
      <alignment horizontal="center" vertical="center" wrapText="1" readingOrder="2"/>
    </xf>
    <xf numFmtId="0" fontId="12" fillId="12" borderId="2" xfId="0" applyFont="1" applyFill="1" applyBorder="1" applyAlignment="1">
      <alignment horizontal="center" vertical="center" wrapText="1" readingOrder="2"/>
    </xf>
    <xf numFmtId="0" fontId="10" fillId="0" borderId="2" xfId="0" applyFont="1" applyBorder="1" applyAlignment="1">
      <alignment readingOrder="2"/>
    </xf>
    <xf numFmtId="0" fontId="12" fillId="4" borderId="2" xfId="0" applyFont="1" applyFill="1" applyBorder="1" applyAlignment="1">
      <alignment horizontal="right" vertical="center" wrapText="1" readingOrder="2"/>
    </xf>
    <xf numFmtId="0" fontId="12" fillId="6" borderId="1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6">
    <dxf>
      <font>
        <b/>
        <sz val="9"/>
        <color rgb="FF375623"/>
        <name val="Arial"/>
      </font>
      <fill>
        <patternFill patternType="solid">
          <fgColor rgb="FFE2EFDA"/>
          <bgColor rgb="FFE2EFDA"/>
        </patternFill>
      </fill>
    </dxf>
    <dxf>
      <font>
        <b/>
        <sz val="9"/>
        <color rgb="FFB25900"/>
        <name val="Arial"/>
      </font>
      <fill>
        <patternFill patternType="solid">
          <fgColor rgb="FFFFF2CC"/>
          <bgColor rgb="FFFFF2CC"/>
        </patternFill>
      </fill>
    </dxf>
    <dxf>
      <font>
        <b/>
        <sz val="9"/>
        <color rgb="FFC00000"/>
        <name val="Arial"/>
      </font>
      <fill>
        <patternFill patternType="solid">
          <fgColor rgb="FFFCE4D6"/>
          <bgColor rgb="FFFCE4D6"/>
        </patternFill>
      </fill>
    </dxf>
    <dxf>
      <font>
        <b/>
        <sz val="9"/>
        <color rgb="FF375623"/>
        <name val="Arial"/>
      </font>
      <fill>
        <patternFill patternType="solid">
          <fgColor rgb="FFE2EFDA"/>
          <bgColor rgb="FFE2EFDA"/>
        </patternFill>
      </fill>
    </dxf>
    <dxf>
      <font>
        <b/>
        <sz val="9"/>
        <color rgb="FFB25900"/>
        <name val="Arial"/>
      </font>
      <fill>
        <patternFill patternType="solid">
          <fgColor rgb="FFFFF2CC"/>
          <bgColor rgb="FFFFF2CC"/>
        </patternFill>
      </fill>
    </dxf>
    <dxf>
      <font>
        <b/>
        <sz val="9"/>
        <color rgb="FFC00000"/>
        <name val="Arial"/>
      </font>
      <fill>
        <patternFill patternType="solid">
          <fgColor rgb="FFFCE4D6"/>
          <b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0</xdr:rowOff>
    </xdr:from>
    <xdr:to>
      <xdr:col>3</xdr:col>
      <xdr:colOff>735626</xdr:colOff>
      <xdr:row>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2DAAE1-1B97-4B77-B384-06C177303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49813374" y="0"/>
          <a:ext cx="2507276" cy="1314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15"/>
  <sheetViews>
    <sheetView rightToLeft="1" workbookViewId="0">
      <selection activeCell="C14" sqref="C14:G14"/>
    </sheetView>
  </sheetViews>
  <sheetFormatPr defaultRowHeight="15.75" x14ac:dyDescent="0.25"/>
  <cols>
    <col min="1" max="1" width="4" style="16" customWidth="1"/>
    <col min="2" max="2" width="34" style="16" customWidth="1"/>
    <col min="3" max="7" width="16" style="16" customWidth="1"/>
    <col min="8" max="16384" width="9" style="16"/>
  </cols>
  <sheetData>
    <row r="3" spans="2:7" x14ac:dyDescent="0.25">
      <c r="B3" s="15" t="s">
        <v>398</v>
      </c>
    </row>
    <row r="5" spans="2:7" ht="30" customHeight="1" x14ac:dyDescent="0.25">
      <c r="B5" s="17" t="s">
        <v>386</v>
      </c>
      <c r="C5" s="40" t="s">
        <v>397</v>
      </c>
      <c r="D5" s="41"/>
      <c r="E5" s="41"/>
      <c r="F5" s="41"/>
      <c r="G5" s="41"/>
    </row>
    <row r="6" spans="2:7" ht="49.5" customHeight="1" x14ac:dyDescent="0.25">
      <c r="B6" s="17" t="s">
        <v>387</v>
      </c>
      <c r="C6" s="40" t="s">
        <v>0</v>
      </c>
      <c r="D6" s="41"/>
      <c r="E6" s="41"/>
      <c r="F6" s="41"/>
      <c r="G6" s="41"/>
    </row>
    <row r="7" spans="2:7" ht="30.75" customHeight="1" x14ac:dyDescent="0.25">
      <c r="B7" s="17" t="s">
        <v>388</v>
      </c>
      <c r="C7" s="40" t="s">
        <v>1</v>
      </c>
      <c r="D7" s="41"/>
      <c r="E7" s="41"/>
      <c r="F7" s="41"/>
      <c r="G7" s="41"/>
    </row>
    <row r="8" spans="2:7" ht="33.75" customHeight="1" x14ac:dyDescent="0.25">
      <c r="B8" s="17" t="s">
        <v>389</v>
      </c>
      <c r="C8" s="40" t="s">
        <v>2</v>
      </c>
      <c r="D8" s="41"/>
      <c r="E8" s="41"/>
      <c r="F8" s="41"/>
      <c r="G8" s="41"/>
    </row>
    <row r="9" spans="2:7" ht="46.5" customHeight="1" x14ac:dyDescent="0.25">
      <c r="B9" s="17" t="s">
        <v>390</v>
      </c>
      <c r="C9" s="40" t="s">
        <v>3</v>
      </c>
      <c r="D9" s="41"/>
      <c r="E9" s="41"/>
      <c r="F9" s="41"/>
      <c r="G9" s="41"/>
    </row>
    <row r="10" spans="2:7" ht="21.95" customHeight="1" x14ac:dyDescent="0.25">
      <c r="B10" s="17" t="s">
        <v>391</v>
      </c>
      <c r="C10" s="40">
        <v>1</v>
      </c>
      <c r="D10" s="41"/>
      <c r="E10" s="41"/>
      <c r="F10" s="41"/>
      <c r="G10" s="41"/>
    </row>
    <row r="11" spans="2:7" ht="21.95" customHeight="1" x14ac:dyDescent="0.25">
      <c r="B11" s="17" t="s">
        <v>392</v>
      </c>
      <c r="C11" s="40" t="s">
        <v>4</v>
      </c>
      <c r="D11" s="41"/>
      <c r="E11" s="41"/>
      <c r="F11" s="41"/>
      <c r="G11" s="41"/>
    </row>
    <row r="12" spans="2:7" ht="21.95" customHeight="1" x14ac:dyDescent="0.25">
      <c r="B12" s="17" t="s">
        <v>393</v>
      </c>
      <c r="C12" s="40" t="s">
        <v>5</v>
      </c>
      <c r="D12" s="41"/>
      <c r="E12" s="41"/>
      <c r="F12" s="41"/>
      <c r="G12" s="41"/>
    </row>
    <row r="13" spans="2:7" ht="21.95" customHeight="1" x14ac:dyDescent="0.25">
      <c r="B13" s="17" t="s">
        <v>394</v>
      </c>
      <c r="C13" s="40" t="s">
        <v>6</v>
      </c>
      <c r="D13" s="41"/>
      <c r="E13" s="41"/>
      <c r="F13" s="41"/>
      <c r="G13" s="41"/>
    </row>
    <row r="14" spans="2:7" ht="21.95" customHeight="1" x14ac:dyDescent="0.25">
      <c r="B14" s="17" t="s">
        <v>395</v>
      </c>
      <c r="C14" s="40" t="s">
        <v>7</v>
      </c>
      <c r="D14" s="41"/>
      <c r="E14" s="41"/>
      <c r="F14" s="41"/>
      <c r="G14" s="41"/>
    </row>
    <row r="15" spans="2:7" ht="21.95" customHeight="1" x14ac:dyDescent="0.25">
      <c r="B15" s="17" t="s">
        <v>396</v>
      </c>
      <c r="C15" s="40" t="s">
        <v>8</v>
      </c>
      <c r="D15" s="41"/>
      <c r="E15" s="41"/>
      <c r="F15" s="41"/>
      <c r="G15" s="41"/>
    </row>
  </sheetData>
  <mergeCells count="11">
    <mergeCell ref="C15:G15"/>
    <mergeCell ref="C11:G11"/>
    <mergeCell ref="C5:G5"/>
    <mergeCell ref="C14:G14"/>
    <mergeCell ref="C13:G13"/>
    <mergeCell ref="C8:G8"/>
    <mergeCell ref="C9:G9"/>
    <mergeCell ref="C7:G7"/>
    <mergeCell ref="C12:G12"/>
    <mergeCell ref="C6:G6"/>
    <mergeCell ref="C10:G10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AD32"/>
  <sheetViews>
    <sheetView rightToLeft="1" workbookViewId="0">
      <pane xSplit="1" ySplit="10" topLeftCell="B11" activePane="bottomRight" state="frozen"/>
      <selection pane="topRight"/>
      <selection pane="bottomLeft"/>
      <selection pane="bottomRight" activeCell="M17" sqref="M17"/>
    </sheetView>
  </sheetViews>
  <sheetFormatPr defaultRowHeight="15.75" x14ac:dyDescent="0.25"/>
  <cols>
    <col min="1" max="1" width="4" style="16" customWidth="1"/>
    <col min="2" max="2" width="6" style="16" customWidth="1"/>
    <col min="3" max="3" width="18" style="16" customWidth="1"/>
    <col min="4" max="4" width="22" style="16" customWidth="1"/>
    <col min="5" max="6" width="26" style="16" customWidth="1"/>
    <col min="7" max="7" width="12" style="16" customWidth="1"/>
    <col min="8" max="8" width="18" style="16" customWidth="1"/>
    <col min="9" max="9" width="22" style="16" customWidth="1"/>
    <col min="10" max="10" width="11" style="16" customWidth="1"/>
    <col min="11" max="11" width="22" style="16" customWidth="1"/>
    <col min="12" max="12" width="10" style="16" customWidth="1"/>
    <col min="13" max="13" width="22" style="16" customWidth="1"/>
    <col min="14" max="14" width="11" style="16" customWidth="1"/>
    <col min="15" max="15" width="12" style="16" customWidth="1"/>
    <col min="16" max="16" width="18" style="16" customWidth="1"/>
    <col min="17" max="17" width="28" style="16" customWidth="1"/>
    <col min="18" max="18" width="16" style="16" customWidth="1"/>
    <col min="19" max="19" width="14" style="16" customWidth="1"/>
    <col min="20" max="20" width="18" style="16" customWidth="1"/>
    <col min="21" max="21" width="14" style="16" customWidth="1"/>
    <col min="22" max="22" width="11" style="16" customWidth="1"/>
    <col min="23" max="23" width="14" style="16" customWidth="1"/>
    <col min="24" max="24" width="12" style="16" customWidth="1"/>
    <col min="25" max="25" width="22" style="16" customWidth="1"/>
    <col min="26" max="26" width="11" style="16" customWidth="1"/>
    <col min="27" max="27" width="22" style="16" customWidth="1"/>
    <col min="28" max="28" width="12" style="16" customWidth="1"/>
    <col min="29" max="29" width="13" style="16" customWidth="1"/>
    <col min="30" max="30" width="22.375" style="16" customWidth="1"/>
    <col min="31" max="16384" width="9" style="16"/>
  </cols>
  <sheetData>
    <row r="3" spans="2:30" x14ac:dyDescent="0.25">
      <c r="P3" s="43"/>
      <c r="Q3" s="44"/>
      <c r="R3" s="44"/>
    </row>
    <row r="4" spans="2:30" x14ac:dyDescent="0.25">
      <c r="P4" s="43"/>
      <c r="Q4" s="44"/>
      <c r="R4" s="44"/>
    </row>
    <row r="5" spans="2:30" x14ac:dyDescent="0.25">
      <c r="P5" s="22"/>
    </row>
    <row r="6" spans="2:30" x14ac:dyDescent="0.25">
      <c r="P6" s="22"/>
    </row>
    <row r="7" spans="2:30" x14ac:dyDescent="0.25">
      <c r="P7" s="43"/>
      <c r="Q7" s="44"/>
      <c r="R7" s="44"/>
    </row>
    <row r="8" spans="2:30" x14ac:dyDescent="0.25">
      <c r="B8" s="15" t="s">
        <v>362</v>
      </c>
    </row>
    <row r="9" spans="2:30" ht="24" customHeight="1" x14ac:dyDescent="0.25">
      <c r="B9" s="46" t="s">
        <v>363</v>
      </c>
      <c r="C9" s="41"/>
      <c r="D9" s="41"/>
      <c r="E9" s="41"/>
      <c r="F9" s="41"/>
      <c r="G9" s="41"/>
      <c r="H9" s="41"/>
      <c r="I9" s="41"/>
      <c r="J9" s="42" t="s">
        <v>9</v>
      </c>
      <c r="K9" s="41"/>
      <c r="L9" s="41"/>
      <c r="M9" s="41"/>
      <c r="N9" s="41"/>
      <c r="O9" s="41"/>
      <c r="P9" s="50" t="s">
        <v>381</v>
      </c>
      <c r="Q9" s="41"/>
      <c r="R9" s="41"/>
      <c r="S9" s="41"/>
      <c r="T9" s="41"/>
      <c r="U9" s="41"/>
      <c r="V9" s="41"/>
      <c r="W9" s="41"/>
      <c r="X9" s="45" t="s">
        <v>10</v>
      </c>
      <c r="Y9" s="41"/>
      <c r="Z9" s="41"/>
      <c r="AA9" s="41"/>
      <c r="AB9" s="41"/>
      <c r="AC9" s="41"/>
      <c r="AD9" s="25" t="s">
        <v>11</v>
      </c>
    </row>
    <row r="10" spans="2:30" ht="42" customHeight="1" x14ac:dyDescent="0.25">
      <c r="B10" s="23" t="s">
        <v>364</v>
      </c>
      <c r="C10" s="23" t="s">
        <v>365</v>
      </c>
      <c r="D10" s="23" t="s">
        <v>366</v>
      </c>
      <c r="E10" s="23" t="s">
        <v>367</v>
      </c>
      <c r="F10" s="23" t="s">
        <v>368</v>
      </c>
      <c r="G10" s="23" t="s">
        <v>369</v>
      </c>
      <c r="H10" s="23" t="s">
        <v>370</v>
      </c>
      <c r="I10" s="23" t="s">
        <v>371</v>
      </c>
      <c r="J10" s="26" t="s">
        <v>372</v>
      </c>
      <c r="K10" s="26" t="s">
        <v>373</v>
      </c>
      <c r="L10" s="26" t="s">
        <v>374</v>
      </c>
      <c r="M10" s="26" t="s">
        <v>375</v>
      </c>
      <c r="N10" s="26" t="s">
        <v>376</v>
      </c>
      <c r="O10" s="26" t="s">
        <v>377</v>
      </c>
      <c r="P10" s="24" t="s">
        <v>378</v>
      </c>
      <c r="Q10" s="24" t="s">
        <v>379</v>
      </c>
      <c r="R10" s="24" t="s">
        <v>380</v>
      </c>
      <c r="S10" s="24" t="s">
        <v>382</v>
      </c>
      <c r="T10" s="24" t="s">
        <v>383</v>
      </c>
      <c r="U10" s="24" t="s">
        <v>384</v>
      </c>
      <c r="V10" s="24" t="s">
        <v>385</v>
      </c>
      <c r="W10" s="24" t="s">
        <v>13</v>
      </c>
      <c r="X10" s="27" t="s">
        <v>14</v>
      </c>
      <c r="Y10" s="27" t="s">
        <v>15</v>
      </c>
      <c r="Z10" s="27" t="s">
        <v>16</v>
      </c>
      <c r="AA10" s="27" t="s">
        <v>17</v>
      </c>
      <c r="AB10" s="27" t="s">
        <v>18</v>
      </c>
      <c r="AC10" s="27" t="s">
        <v>19</v>
      </c>
      <c r="AD10" s="25" t="s">
        <v>20</v>
      </c>
    </row>
    <row r="12" spans="2:30" ht="51" customHeight="1" x14ac:dyDescent="0.25">
      <c r="B12" s="28">
        <v>1</v>
      </c>
      <c r="C12" s="18" t="s">
        <v>21</v>
      </c>
      <c r="D12" s="29" t="s">
        <v>22</v>
      </c>
      <c r="E12" s="18" t="s">
        <v>23</v>
      </c>
      <c r="F12" s="18" t="s">
        <v>24</v>
      </c>
      <c r="G12" s="28" t="s">
        <v>25</v>
      </c>
      <c r="H12" s="18" t="s">
        <v>26</v>
      </c>
      <c r="I12" s="18" t="s">
        <v>27</v>
      </c>
      <c r="J12" s="28">
        <v>4</v>
      </c>
      <c r="K12" s="18" t="s">
        <v>28</v>
      </c>
      <c r="L12" s="28">
        <v>4</v>
      </c>
      <c r="M12" s="18" t="s">
        <v>29</v>
      </c>
      <c r="N12" s="28">
        <f t="shared" ref="N12:N31" si="0">J12*L12</f>
        <v>16</v>
      </c>
      <c r="O12" s="28" t="str">
        <f t="shared" ref="O12:O31" si="1">IF(OR(ISBLANK(J12),ISBLANK(L12)),"",IF(N12&gt;=12,"HIGH",IF(N12&gt;=5,"MEDIUM","LOW")))</f>
        <v>HIGH</v>
      </c>
      <c r="P12" s="37" t="s">
        <v>30</v>
      </c>
      <c r="Q12" s="18" t="s">
        <v>31</v>
      </c>
      <c r="R12" s="28" t="s">
        <v>32</v>
      </c>
      <c r="S12" s="30">
        <v>75000</v>
      </c>
      <c r="T12" s="18" t="s">
        <v>33</v>
      </c>
      <c r="U12" s="37" t="s">
        <v>34</v>
      </c>
      <c r="V12" s="31">
        <v>1</v>
      </c>
      <c r="W12" s="28" t="s">
        <v>35</v>
      </c>
      <c r="X12" s="28">
        <v>1</v>
      </c>
      <c r="Y12" s="18" t="s">
        <v>36</v>
      </c>
      <c r="Z12" s="28">
        <v>3</v>
      </c>
      <c r="AA12" s="18" t="s">
        <v>37</v>
      </c>
      <c r="AB12" s="28">
        <f t="shared" ref="AB12:AB31" si="2">X12*Z12</f>
        <v>3</v>
      </c>
      <c r="AC12" s="28" t="str">
        <f t="shared" ref="AC12:AC31" si="3">IF(OR(ISBLANK(X12),ISBLANK(Z12)),"",IF(AB12&gt;=12,"HIGH",IF(AB12&gt;=5,"MEDIUM","LOW")))</f>
        <v>LOW</v>
      </c>
      <c r="AD12" s="18" t="s">
        <v>38</v>
      </c>
    </row>
    <row r="13" spans="2:30" ht="48.75" customHeight="1" x14ac:dyDescent="0.25">
      <c r="B13" s="32">
        <v>2</v>
      </c>
      <c r="C13" s="38" t="s">
        <v>21</v>
      </c>
      <c r="D13" s="33" t="s">
        <v>39</v>
      </c>
      <c r="E13" s="38" t="s">
        <v>40</v>
      </c>
      <c r="F13" s="38" t="s">
        <v>41</v>
      </c>
      <c r="G13" s="32" t="s">
        <v>42</v>
      </c>
      <c r="H13" s="38" t="s">
        <v>43</v>
      </c>
      <c r="I13" s="38" t="s">
        <v>44</v>
      </c>
      <c r="J13" s="32">
        <v>4</v>
      </c>
      <c r="K13" s="38" t="s">
        <v>45</v>
      </c>
      <c r="L13" s="32">
        <v>5</v>
      </c>
      <c r="M13" s="38" t="s">
        <v>46</v>
      </c>
      <c r="N13" s="32">
        <f t="shared" si="0"/>
        <v>20</v>
      </c>
      <c r="O13" s="32" t="str">
        <f t="shared" si="1"/>
        <v>HIGH</v>
      </c>
      <c r="P13" s="39" t="s">
        <v>30</v>
      </c>
      <c r="Q13" s="38" t="s">
        <v>47</v>
      </c>
      <c r="R13" s="32" t="s">
        <v>48</v>
      </c>
      <c r="S13" s="34">
        <v>180000</v>
      </c>
      <c r="T13" s="38" t="s">
        <v>49</v>
      </c>
      <c r="U13" s="39" t="s">
        <v>50</v>
      </c>
      <c r="V13" s="35">
        <v>1</v>
      </c>
      <c r="W13" s="32" t="s">
        <v>35</v>
      </c>
      <c r="X13" s="32">
        <v>1</v>
      </c>
      <c r="Y13" s="38" t="s">
        <v>51</v>
      </c>
      <c r="Z13" s="32">
        <v>3</v>
      </c>
      <c r="AA13" s="38" t="s">
        <v>52</v>
      </c>
      <c r="AB13" s="32">
        <f t="shared" si="2"/>
        <v>3</v>
      </c>
      <c r="AC13" s="32" t="str">
        <f t="shared" si="3"/>
        <v>LOW</v>
      </c>
      <c r="AD13" s="38" t="s">
        <v>53</v>
      </c>
    </row>
    <row r="14" spans="2:30" ht="51.75" customHeight="1" x14ac:dyDescent="0.25">
      <c r="B14" s="28">
        <v>3</v>
      </c>
      <c r="C14" s="18" t="s">
        <v>21</v>
      </c>
      <c r="D14" s="29" t="s">
        <v>54</v>
      </c>
      <c r="E14" s="18" t="s">
        <v>55</v>
      </c>
      <c r="F14" s="18" t="s">
        <v>56</v>
      </c>
      <c r="G14" s="28" t="s">
        <v>42</v>
      </c>
      <c r="H14" s="18" t="s">
        <v>43</v>
      </c>
      <c r="I14" s="18" t="s">
        <v>57</v>
      </c>
      <c r="J14" s="28">
        <v>4</v>
      </c>
      <c r="K14" s="18" t="s">
        <v>58</v>
      </c>
      <c r="L14" s="28">
        <v>4</v>
      </c>
      <c r="M14" s="18" t="s">
        <v>59</v>
      </c>
      <c r="N14" s="28">
        <f t="shared" si="0"/>
        <v>16</v>
      </c>
      <c r="O14" s="28" t="str">
        <f t="shared" si="1"/>
        <v>HIGH</v>
      </c>
      <c r="P14" s="37" t="s">
        <v>30</v>
      </c>
      <c r="Q14" s="18" t="s">
        <v>60</v>
      </c>
      <c r="R14" s="28" t="s">
        <v>61</v>
      </c>
      <c r="S14" s="30">
        <v>120000</v>
      </c>
      <c r="T14" s="18" t="s">
        <v>62</v>
      </c>
      <c r="U14" s="37" t="s">
        <v>50</v>
      </c>
      <c r="V14" s="31">
        <v>1</v>
      </c>
      <c r="W14" s="28" t="s">
        <v>35</v>
      </c>
      <c r="X14" s="28">
        <v>1</v>
      </c>
      <c r="Y14" s="18" t="s">
        <v>63</v>
      </c>
      <c r="Z14" s="28">
        <v>3</v>
      </c>
      <c r="AA14" s="18" t="s">
        <v>64</v>
      </c>
      <c r="AB14" s="28">
        <f t="shared" si="2"/>
        <v>3</v>
      </c>
      <c r="AC14" s="28" t="str">
        <f t="shared" si="3"/>
        <v>LOW</v>
      </c>
      <c r="AD14" s="18" t="s">
        <v>65</v>
      </c>
    </row>
    <row r="15" spans="2:30" ht="50.25" customHeight="1" x14ac:dyDescent="0.25">
      <c r="B15" s="32">
        <v>4</v>
      </c>
      <c r="C15" s="38" t="s">
        <v>66</v>
      </c>
      <c r="D15" s="33" t="s">
        <v>67</v>
      </c>
      <c r="E15" s="38" t="s">
        <v>68</v>
      </c>
      <c r="F15" s="38" t="s">
        <v>69</v>
      </c>
      <c r="G15" s="32" t="s">
        <v>70</v>
      </c>
      <c r="H15" s="38" t="s">
        <v>71</v>
      </c>
      <c r="I15" s="38" t="s">
        <v>72</v>
      </c>
      <c r="J15" s="32">
        <v>4</v>
      </c>
      <c r="K15" s="38" t="s">
        <v>73</v>
      </c>
      <c r="L15" s="32">
        <v>4</v>
      </c>
      <c r="M15" s="38" t="s">
        <v>74</v>
      </c>
      <c r="N15" s="32">
        <f t="shared" si="0"/>
        <v>16</v>
      </c>
      <c r="O15" s="32" t="str">
        <f t="shared" si="1"/>
        <v>HIGH</v>
      </c>
      <c r="P15" s="39" t="s">
        <v>75</v>
      </c>
      <c r="Q15" s="38" t="s">
        <v>76</v>
      </c>
      <c r="R15" s="32" t="s">
        <v>77</v>
      </c>
      <c r="S15" s="34">
        <v>45000</v>
      </c>
      <c r="T15" s="38" t="s">
        <v>78</v>
      </c>
      <c r="U15" s="39" t="s">
        <v>50</v>
      </c>
      <c r="V15" s="35">
        <v>1</v>
      </c>
      <c r="W15" s="32" t="s">
        <v>35</v>
      </c>
      <c r="X15" s="32">
        <v>2</v>
      </c>
      <c r="Y15" s="38" t="s">
        <v>79</v>
      </c>
      <c r="Z15" s="32">
        <v>1</v>
      </c>
      <c r="AA15" s="38" t="s">
        <v>80</v>
      </c>
      <c r="AB15" s="32">
        <f t="shared" si="2"/>
        <v>2</v>
      </c>
      <c r="AC15" s="32" t="str">
        <f t="shared" si="3"/>
        <v>LOW</v>
      </c>
      <c r="AD15" s="38" t="s">
        <v>81</v>
      </c>
    </row>
    <row r="16" spans="2:30" ht="48" customHeight="1" x14ac:dyDescent="0.25">
      <c r="B16" s="28">
        <v>5</v>
      </c>
      <c r="C16" s="18" t="s">
        <v>82</v>
      </c>
      <c r="D16" s="29" t="s">
        <v>83</v>
      </c>
      <c r="E16" s="18" t="s">
        <v>84</v>
      </c>
      <c r="F16" s="18" t="s">
        <v>85</v>
      </c>
      <c r="G16" s="28" t="s">
        <v>86</v>
      </c>
      <c r="H16" s="18" t="s">
        <v>87</v>
      </c>
      <c r="I16" s="18" t="s">
        <v>88</v>
      </c>
      <c r="J16" s="28">
        <v>4</v>
      </c>
      <c r="K16" s="18" t="s">
        <v>89</v>
      </c>
      <c r="L16" s="28">
        <v>3</v>
      </c>
      <c r="M16" s="18" t="s">
        <v>90</v>
      </c>
      <c r="N16" s="28">
        <f t="shared" si="0"/>
        <v>12</v>
      </c>
      <c r="O16" s="28" t="str">
        <f t="shared" si="1"/>
        <v>HIGH</v>
      </c>
      <c r="P16" s="37" t="s">
        <v>30</v>
      </c>
      <c r="Q16" s="18" t="s">
        <v>91</v>
      </c>
      <c r="R16" s="28" t="s">
        <v>92</v>
      </c>
      <c r="S16" s="30">
        <v>30000</v>
      </c>
      <c r="T16" s="18" t="s">
        <v>93</v>
      </c>
      <c r="U16" s="37" t="s">
        <v>50</v>
      </c>
      <c r="V16" s="31">
        <v>1</v>
      </c>
      <c r="W16" s="28" t="s">
        <v>35</v>
      </c>
      <c r="X16" s="28">
        <v>1</v>
      </c>
      <c r="Y16" s="18" t="s">
        <v>94</v>
      </c>
      <c r="Z16" s="28">
        <v>1</v>
      </c>
      <c r="AA16" s="18" t="s">
        <v>95</v>
      </c>
      <c r="AB16" s="28">
        <f t="shared" si="2"/>
        <v>1</v>
      </c>
      <c r="AC16" s="28" t="str">
        <f t="shared" si="3"/>
        <v>LOW</v>
      </c>
      <c r="AD16" s="18" t="s">
        <v>96</v>
      </c>
    </row>
    <row r="17" spans="2:30" ht="54" customHeight="1" x14ac:dyDescent="0.25">
      <c r="B17" s="32">
        <v>6</v>
      </c>
      <c r="C17" s="38" t="s">
        <v>97</v>
      </c>
      <c r="D17" s="33" t="s">
        <v>98</v>
      </c>
      <c r="E17" s="38" t="s">
        <v>99</v>
      </c>
      <c r="F17" s="38" t="s">
        <v>100</v>
      </c>
      <c r="G17" s="32" t="s">
        <v>42</v>
      </c>
      <c r="H17" s="38" t="s">
        <v>101</v>
      </c>
      <c r="I17" s="38" t="s">
        <v>102</v>
      </c>
      <c r="J17" s="32">
        <v>4</v>
      </c>
      <c r="K17" s="38" t="s">
        <v>103</v>
      </c>
      <c r="L17" s="32">
        <v>4</v>
      </c>
      <c r="M17" s="38" t="s">
        <v>104</v>
      </c>
      <c r="N17" s="32">
        <f t="shared" si="0"/>
        <v>16</v>
      </c>
      <c r="O17" s="32" t="str">
        <f t="shared" si="1"/>
        <v>HIGH</v>
      </c>
      <c r="P17" s="39" t="s">
        <v>30</v>
      </c>
      <c r="Q17" s="38" t="s">
        <v>105</v>
      </c>
      <c r="R17" s="32" t="s">
        <v>106</v>
      </c>
      <c r="S17" s="34">
        <v>40000</v>
      </c>
      <c r="T17" s="38" t="s">
        <v>107</v>
      </c>
      <c r="U17" s="39" t="s">
        <v>34</v>
      </c>
      <c r="V17" s="35">
        <v>1</v>
      </c>
      <c r="W17" s="32" t="s">
        <v>35</v>
      </c>
      <c r="X17" s="32">
        <v>1</v>
      </c>
      <c r="Y17" s="38" t="s">
        <v>108</v>
      </c>
      <c r="Z17" s="32">
        <v>2</v>
      </c>
      <c r="AA17" s="38" t="s">
        <v>109</v>
      </c>
      <c r="AB17" s="32">
        <f t="shared" si="2"/>
        <v>2</v>
      </c>
      <c r="AC17" s="32" t="str">
        <f t="shared" si="3"/>
        <v>LOW</v>
      </c>
      <c r="AD17" s="38" t="s">
        <v>110</v>
      </c>
    </row>
    <row r="18" spans="2:30" ht="36" customHeight="1" x14ac:dyDescent="0.25">
      <c r="B18" s="28">
        <v>7</v>
      </c>
      <c r="C18" s="18" t="s">
        <v>111</v>
      </c>
      <c r="D18" s="29" t="s">
        <v>112</v>
      </c>
      <c r="E18" s="18" t="s">
        <v>113</v>
      </c>
      <c r="F18" s="18" t="s">
        <v>114</v>
      </c>
      <c r="G18" s="28" t="s">
        <v>115</v>
      </c>
      <c r="H18" s="18" t="s">
        <v>116</v>
      </c>
      <c r="I18" s="18" t="s">
        <v>117</v>
      </c>
      <c r="J18" s="28">
        <v>4</v>
      </c>
      <c r="K18" s="18" t="s">
        <v>118</v>
      </c>
      <c r="L18" s="28">
        <v>4</v>
      </c>
      <c r="M18" s="18" t="s">
        <v>119</v>
      </c>
      <c r="N18" s="28">
        <f t="shared" si="0"/>
        <v>16</v>
      </c>
      <c r="O18" s="28" t="str">
        <f t="shared" si="1"/>
        <v>HIGH</v>
      </c>
      <c r="P18" s="37" t="s">
        <v>30</v>
      </c>
      <c r="Q18" s="18" t="s">
        <v>120</v>
      </c>
      <c r="R18" s="28" t="s">
        <v>121</v>
      </c>
      <c r="S18" s="30">
        <v>50000</v>
      </c>
      <c r="T18" s="18" t="s">
        <v>87</v>
      </c>
      <c r="U18" s="37" t="s">
        <v>50</v>
      </c>
      <c r="V18" s="31">
        <v>1</v>
      </c>
      <c r="W18" s="28" t="s">
        <v>35</v>
      </c>
      <c r="X18" s="28">
        <v>1</v>
      </c>
      <c r="Y18" s="18" t="s">
        <v>122</v>
      </c>
      <c r="Z18" s="28">
        <v>2</v>
      </c>
      <c r="AA18" s="18" t="s">
        <v>123</v>
      </c>
      <c r="AB18" s="28">
        <f t="shared" si="2"/>
        <v>2</v>
      </c>
      <c r="AC18" s="28" t="str">
        <f t="shared" si="3"/>
        <v>LOW</v>
      </c>
      <c r="AD18" s="18" t="s">
        <v>124</v>
      </c>
    </row>
    <row r="19" spans="2:30" ht="36" customHeight="1" x14ac:dyDescent="0.25">
      <c r="B19" s="32">
        <v>8</v>
      </c>
      <c r="C19" s="38" t="s">
        <v>66</v>
      </c>
      <c r="D19" s="33" t="s">
        <v>125</v>
      </c>
      <c r="E19" s="38" t="s">
        <v>126</v>
      </c>
      <c r="F19" s="38" t="s">
        <v>127</v>
      </c>
      <c r="G19" s="32" t="s">
        <v>42</v>
      </c>
      <c r="H19" s="38" t="s">
        <v>128</v>
      </c>
      <c r="I19" s="38" t="s">
        <v>129</v>
      </c>
      <c r="J19" s="32">
        <v>3</v>
      </c>
      <c r="K19" s="38" t="s">
        <v>130</v>
      </c>
      <c r="L19" s="32">
        <v>4</v>
      </c>
      <c r="M19" s="38" t="s">
        <v>131</v>
      </c>
      <c r="N19" s="32">
        <f t="shared" si="0"/>
        <v>12</v>
      </c>
      <c r="O19" s="32" t="str">
        <f t="shared" si="1"/>
        <v>HIGH</v>
      </c>
      <c r="P19" s="39" t="s">
        <v>30</v>
      </c>
      <c r="Q19" s="38" t="s">
        <v>132</v>
      </c>
      <c r="R19" s="32" t="s">
        <v>133</v>
      </c>
      <c r="S19" s="34">
        <v>250000</v>
      </c>
      <c r="T19" s="38" t="s">
        <v>134</v>
      </c>
      <c r="U19" s="39" t="s">
        <v>50</v>
      </c>
      <c r="V19" s="35">
        <v>1</v>
      </c>
      <c r="W19" s="32" t="s">
        <v>35</v>
      </c>
      <c r="X19" s="32">
        <v>1</v>
      </c>
      <c r="Y19" s="38" t="s">
        <v>135</v>
      </c>
      <c r="Z19" s="32">
        <v>2</v>
      </c>
      <c r="AA19" s="38" t="s">
        <v>136</v>
      </c>
      <c r="AB19" s="32">
        <f t="shared" si="2"/>
        <v>2</v>
      </c>
      <c r="AC19" s="32" t="str">
        <f t="shared" si="3"/>
        <v>LOW</v>
      </c>
      <c r="AD19" s="38" t="s">
        <v>137</v>
      </c>
    </row>
    <row r="20" spans="2:30" ht="36" customHeight="1" x14ac:dyDescent="0.25">
      <c r="B20" s="28">
        <v>9</v>
      </c>
      <c r="C20" s="18" t="s">
        <v>138</v>
      </c>
      <c r="D20" s="29" t="s">
        <v>139</v>
      </c>
      <c r="E20" s="18" t="s">
        <v>140</v>
      </c>
      <c r="F20" s="18" t="s">
        <v>141</v>
      </c>
      <c r="G20" s="28" t="s">
        <v>25</v>
      </c>
      <c r="H20" s="18" t="s">
        <v>142</v>
      </c>
      <c r="I20" s="18" t="s">
        <v>143</v>
      </c>
      <c r="J20" s="28">
        <v>4</v>
      </c>
      <c r="K20" s="18" t="s">
        <v>144</v>
      </c>
      <c r="L20" s="28">
        <v>4</v>
      </c>
      <c r="M20" s="18" t="s">
        <v>145</v>
      </c>
      <c r="N20" s="28">
        <f t="shared" si="0"/>
        <v>16</v>
      </c>
      <c r="O20" s="28" t="str">
        <f t="shared" si="1"/>
        <v>HIGH</v>
      </c>
      <c r="P20" s="37" t="s">
        <v>30</v>
      </c>
      <c r="Q20" s="18" t="s">
        <v>146</v>
      </c>
      <c r="R20" s="28" t="s">
        <v>147</v>
      </c>
      <c r="S20" s="30">
        <v>90000</v>
      </c>
      <c r="T20" s="18" t="s">
        <v>148</v>
      </c>
      <c r="U20" s="37" t="s">
        <v>50</v>
      </c>
      <c r="V20" s="31">
        <v>1</v>
      </c>
      <c r="W20" s="28" t="s">
        <v>35</v>
      </c>
      <c r="X20" s="28">
        <v>2</v>
      </c>
      <c r="Y20" s="18" t="s">
        <v>149</v>
      </c>
      <c r="Z20" s="28">
        <v>2</v>
      </c>
      <c r="AA20" s="18" t="s">
        <v>150</v>
      </c>
      <c r="AB20" s="28">
        <f t="shared" si="2"/>
        <v>4</v>
      </c>
      <c r="AC20" s="28" t="str">
        <f t="shared" si="3"/>
        <v>LOW</v>
      </c>
      <c r="AD20" s="18" t="s">
        <v>151</v>
      </c>
    </row>
    <row r="21" spans="2:30" ht="49.5" customHeight="1" x14ac:dyDescent="0.25">
      <c r="B21" s="32">
        <v>10</v>
      </c>
      <c r="C21" s="38" t="s">
        <v>138</v>
      </c>
      <c r="D21" s="33" t="s">
        <v>152</v>
      </c>
      <c r="E21" s="38" t="s">
        <v>153</v>
      </c>
      <c r="F21" s="38" t="s">
        <v>154</v>
      </c>
      <c r="G21" s="32" t="s">
        <v>70</v>
      </c>
      <c r="H21" s="38" t="s">
        <v>155</v>
      </c>
      <c r="I21" s="38" t="s">
        <v>156</v>
      </c>
      <c r="J21" s="32">
        <v>3</v>
      </c>
      <c r="K21" s="38" t="s">
        <v>157</v>
      </c>
      <c r="L21" s="32">
        <v>4</v>
      </c>
      <c r="M21" s="38" t="s">
        <v>158</v>
      </c>
      <c r="N21" s="32">
        <f t="shared" si="0"/>
        <v>12</v>
      </c>
      <c r="O21" s="32" t="str">
        <f t="shared" si="1"/>
        <v>HIGH</v>
      </c>
      <c r="P21" s="39" t="s">
        <v>30</v>
      </c>
      <c r="Q21" s="38" t="s">
        <v>159</v>
      </c>
      <c r="R21" s="32" t="s">
        <v>160</v>
      </c>
      <c r="S21" s="34">
        <v>35000</v>
      </c>
      <c r="T21" s="38" t="s">
        <v>107</v>
      </c>
      <c r="U21" s="39" t="s">
        <v>34</v>
      </c>
      <c r="V21" s="35">
        <v>1</v>
      </c>
      <c r="W21" s="32" t="s">
        <v>35</v>
      </c>
      <c r="X21" s="32">
        <v>1</v>
      </c>
      <c r="Y21" s="38" t="s">
        <v>161</v>
      </c>
      <c r="Z21" s="32">
        <v>2</v>
      </c>
      <c r="AA21" s="38" t="s">
        <v>162</v>
      </c>
      <c r="AB21" s="32">
        <f t="shared" si="2"/>
        <v>2</v>
      </c>
      <c r="AC21" s="32" t="str">
        <f t="shared" si="3"/>
        <v>LOW</v>
      </c>
      <c r="AD21" s="38" t="s">
        <v>163</v>
      </c>
    </row>
    <row r="22" spans="2:30" ht="62.25" customHeight="1" x14ac:dyDescent="0.25">
      <c r="B22" s="28">
        <v>11</v>
      </c>
      <c r="C22" s="18" t="s">
        <v>164</v>
      </c>
      <c r="D22" s="29" t="s">
        <v>165</v>
      </c>
      <c r="E22" s="18" t="s">
        <v>166</v>
      </c>
      <c r="F22" s="18" t="s">
        <v>167</v>
      </c>
      <c r="G22" s="28" t="s">
        <v>115</v>
      </c>
      <c r="H22" s="18" t="s">
        <v>168</v>
      </c>
      <c r="I22" s="18" t="s">
        <v>169</v>
      </c>
      <c r="J22" s="28">
        <v>3</v>
      </c>
      <c r="K22" s="18" t="s">
        <v>170</v>
      </c>
      <c r="L22" s="28">
        <v>5</v>
      </c>
      <c r="M22" s="18" t="s">
        <v>171</v>
      </c>
      <c r="N22" s="28">
        <f t="shared" si="0"/>
        <v>15</v>
      </c>
      <c r="O22" s="28" t="str">
        <f t="shared" si="1"/>
        <v>HIGH</v>
      </c>
      <c r="P22" s="37" t="s">
        <v>30</v>
      </c>
      <c r="Q22" s="18" t="s">
        <v>172</v>
      </c>
      <c r="R22" s="28" t="s">
        <v>173</v>
      </c>
      <c r="S22" s="30">
        <v>320000</v>
      </c>
      <c r="T22" s="18" t="s">
        <v>174</v>
      </c>
      <c r="U22" s="37" t="s">
        <v>50</v>
      </c>
      <c r="V22" s="31">
        <v>1</v>
      </c>
      <c r="W22" s="28" t="s">
        <v>35</v>
      </c>
      <c r="X22" s="28">
        <v>1</v>
      </c>
      <c r="Y22" s="18" t="s">
        <v>175</v>
      </c>
      <c r="Z22" s="28">
        <v>2</v>
      </c>
      <c r="AA22" s="18" t="s">
        <v>176</v>
      </c>
      <c r="AB22" s="28">
        <f t="shared" si="2"/>
        <v>2</v>
      </c>
      <c r="AC22" s="28" t="str">
        <f t="shared" si="3"/>
        <v>LOW</v>
      </c>
      <c r="AD22" s="18" t="s">
        <v>177</v>
      </c>
    </row>
    <row r="23" spans="2:30" ht="52.5" customHeight="1" x14ac:dyDescent="0.25">
      <c r="B23" s="32">
        <v>12</v>
      </c>
      <c r="C23" s="38" t="s">
        <v>178</v>
      </c>
      <c r="D23" s="33" t="s">
        <v>179</v>
      </c>
      <c r="E23" s="38" t="s">
        <v>180</v>
      </c>
      <c r="F23" s="38" t="s">
        <v>181</v>
      </c>
      <c r="G23" s="32" t="s">
        <v>115</v>
      </c>
      <c r="H23" s="38" t="s">
        <v>182</v>
      </c>
      <c r="I23" s="38" t="s">
        <v>183</v>
      </c>
      <c r="J23" s="32">
        <v>3</v>
      </c>
      <c r="K23" s="38" t="s">
        <v>184</v>
      </c>
      <c r="L23" s="32">
        <v>5</v>
      </c>
      <c r="M23" s="38" t="s">
        <v>185</v>
      </c>
      <c r="N23" s="32">
        <f t="shared" si="0"/>
        <v>15</v>
      </c>
      <c r="O23" s="32" t="str">
        <f t="shared" si="1"/>
        <v>HIGH</v>
      </c>
      <c r="P23" s="39" t="s">
        <v>30</v>
      </c>
      <c r="Q23" s="38" t="s">
        <v>186</v>
      </c>
      <c r="R23" s="32" t="s">
        <v>187</v>
      </c>
      <c r="S23" s="34">
        <v>280000</v>
      </c>
      <c r="T23" s="38" t="s">
        <v>188</v>
      </c>
      <c r="U23" s="39" t="s">
        <v>189</v>
      </c>
      <c r="V23" s="35">
        <v>0.85</v>
      </c>
      <c r="W23" s="32" t="s">
        <v>190</v>
      </c>
      <c r="X23" s="32">
        <v>1</v>
      </c>
      <c r="Y23" s="38" t="s">
        <v>191</v>
      </c>
      <c r="Z23" s="32">
        <v>2</v>
      </c>
      <c r="AA23" s="38" t="s">
        <v>192</v>
      </c>
      <c r="AB23" s="32">
        <f t="shared" si="2"/>
        <v>2</v>
      </c>
      <c r="AC23" s="32" t="str">
        <f t="shared" si="3"/>
        <v>LOW</v>
      </c>
      <c r="AD23" s="38" t="s">
        <v>193</v>
      </c>
    </row>
    <row r="24" spans="2:30" ht="58.5" customHeight="1" x14ac:dyDescent="0.25">
      <c r="B24" s="28">
        <v>13</v>
      </c>
      <c r="C24" s="18" t="s">
        <v>194</v>
      </c>
      <c r="D24" s="29" t="s">
        <v>195</v>
      </c>
      <c r="E24" s="18" t="s">
        <v>196</v>
      </c>
      <c r="F24" s="18" t="s">
        <v>197</v>
      </c>
      <c r="G24" s="28" t="s">
        <v>70</v>
      </c>
      <c r="H24" s="18" t="s">
        <v>198</v>
      </c>
      <c r="I24" s="18" t="s">
        <v>199</v>
      </c>
      <c r="J24" s="28">
        <v>3</v>
      </c>
      <c r="K24" s="18" t="s">
        <v>200</v>
      </c>
      <c r="L24" s="28">
        <v>5</v>
      </c>
      <c r="M24" s="18" t="s">
        <v>201</v>
      </c>
      <c r="N24" s="28">
        <f t="shared" si="0"/>
        <v>15</v>
      </c>
      <c r="O24" s="28" t="str">
        <f t="shared" si="1"/>
        <v>HIGH</v>
      </c>
      <c r="P24" s="37" t="s">
        <v>30</v>
      </c>
      <c r="Q24" s="18" t="s">
        <v>202</v>
      </c>
      <c r="R24" s="28" t="s">
        <v>203</v>
      </c>
      <c r="S24" s="30">
        <v>65000</v>
      </c>
      <c r="T24" s="18" t="s">
        <v>204</v>
      </c>
      <c r="U24" s="37" t="s">
        <v>50</v>
      </c>
      <c r="V24" s="31">
        <v>1</v>
      </c>
      <c r="W24" s="28" t="s">
        <v>35</v>
      </c>
      <c r="X24" s="28">
        <v>1</v>
      </c>
      <c r="Y24" s="18" t="s">
        <v>205</v>
      </c>
      <c r="Z24" s="28">
        <v>2</v>
      </c>
      <c r="AA24" s="18" t="s">
        <v>206</v>
      </c>
      <c r="AB24" s="28">
        <f t="shared" si="2"/>
        <v>2</v>
      </c>
      <c r="AC24" s="28" t="str">
        <f t="shared" si="3"/>
        <v>LOW</v>
      </c>
      <c r="AD24" s="18" t="s">
        <v>207</v>
      </c>
    </row>
    <row r="25" spans="2:30" ht="36" customHeight="1" x14ac:dyDescent="0.25">
      <c r="B25" s="32">
        <v>14</v>
      </c>
      <c r="C25" s="38" t="s">
        <v>97</v>
      </c>
      <c r="D25" s="33" t="s">
        <v>208</v>
      </c>
      <c r="E25" s="38" t="s">
        <v>209</v>
      </c>
      <c r="F25" s="38" t="s">
        <v>210</v>
      </c>
      <c r="G25" s="32" t="s">
        <v>211</v>
      </c>
      <c r="H25" s="38" t="s">
        <v>212</v>
      </c>
      <c r="I25" s="38" t="s">
        <v>213</v>
      </c>
      <c r="J25" s="32">
        <v>3</v>
      </c>
      <c r="K25" s="38" t="s">
        <v>214</v>
      </c>
      <c r="L25" s="32">
        <v>4</v>
      </c>
      <c r="M25" s="38" t="s">
        <v>215</v>
      </c>
      <c r="N25" s="32">
        <f t="shared" si="0"/>
        <v>12</v>
      </c>
      <c r="O25" s="32" t="str">
        <f t="shared" si="1"/>
        <v>HIGH</v>
      </c>
      <c r="P25" s="39" t="s">
        <v>30</v>
      </c>
      <c r="Q25" s="38" t="s">
        <v>216</v>
      </c>
      <c r="R25" s="32" t="s">
        <v>217</v>
      </c>
      <c r="S25" s="34">
        <v>55000</v>
      </c>
      <c r="T25" s="38" t="s">
        <v>218</v>
      </c>
      <c r="U25" s="39" t="s">
        <v>50</v>
      </c>
      <c r="V25" s="35">
        <v>1</v>
      </c>
      <c r="W25" s="32" t="s">
        <v>35</v>
      </c>
      <c r="X25" s="32">
        <v>1</v>
      </c>
      <c r="Y25" s="38" t="s">
        <v>219</v>
      </c>
      <c r="Z25" s="32">
        <v>2</v>
      </c>
      <c r="AA25" s="38" t="s">
        <v>220</v>
      </c>
      <c r="AB25" s="32">
        <f t="shared" si="2"/>
        <v>2</v>
      </c>
      <c r="AC25" s="32" t="str">
        <f t="shared" si="3"/>
        <v>LOW</v>
      </c>
      <c r="AD25" s="38" t="s">
        <v>221</v>
      </c>
    </row>
    <row r="26" spans="2:30" ht="36" customHeight="1" x14ac:dyDescent="0.25">
      <c r="B26" s="28">
        <v>15</v>
      </c>
      <c r="C26" s="18" t="s">
        <v>222</v>
      </c>
      <c r="D26" s="29" t="s">
        <v>223</v>
      </c>
      <c r="E26" s="18" t="s">
        <v>224</v>
      </c>
      <c r="F26" s="18" t="s">
        <v>225</v>
      </c>
      <c r="G26" s="28" t="s">
        <v>70</v>
      </c>
      <c r="H26" s="18" t="s">
        <v>226</v>
      </c>
      <c r="I26" s="18" t="s">
        <v>227</v>
      </c>
      <c r="J26" s="28">
        <v>4</v>
      </c>
      <c r="K26" s="18" t="s">
        <v>228</v>
      </c>
      <c r="L26" s="28">
        <v>4</v>
      </c>
      <c r="M26" s="18" t="s">
        <v>229</v>
      </c>
      <c r="N26" s="28">
        <f t="shared" si="0"/>
        <v>16</v>
      </c>
      <c r="O26" s="28" t="str">
        <f t="shared" si="1"/>
        <v>HIGH</v>
      </c>
      <c r="P26" s="37" t="s">
        <v>30</v>
      </c>
      <c r="Q26" s="18" t="s">
        <v>230</v>
      </c>
      <c r="R26" s="28" t="s">
        <v>231</v>
      </c>
      <c r="S26" s="30">
        <v>85000</v>
      </c>
      <c r="T26" s="18" t="s">
        <v>232</v>
      </c>
      <c r="U26" s="37" t="s">
        <v>50</v>
      </c>
      <c r="V26" s="31">
        <v>1</v>
      </c>
      <c r="W26" s="28" t="s">
        <v>35</v>
      </c>
      <c r="X26" s="28">
        <v>1</v>
      </c>
      <c r="Y26" s="18" t="s">
        <v>233</v>
      </c>
      <c r="Z26" s="28">
        <v>1</v>
      </c>
      <c r="AA26" s="18" t="s">
        <v>234</v>
      </c>
      <c r="AB26" s="28">
        <f t="shared" si="2"/>
        <v>1</v>
      </c>
      <c r="AC26" s="28" t="str">
        <f t="shared" si="3"/>
        <v>LOW</v>
      </c>
      <c r="AD26" s="18" t="s">
        <v>235</v>
      </c>
    </row>
    <row r="27" spans="2:30" ht="36" customHeight="1" x14ac:dyDescent="0.25">
      <c r="B27" s="32">
        <v>16</v>
      </c>
      <c r="C27" s="38" t="s">
        <v>236</v>
      </c>
      <c r="D27" s="33" t="s">
        <v>237</v>
      </c>
      <c r="E27" s="38" t="s">
        <v>238</v>
      </c>
      <c r="F27" s="38" t="s">
        <v>239</v>
      </c>
      <c r="G27" s="32" t="s">
        <v>70</v>
      </c>
      <c r="H27" s="38" t="s">
        <v>240</v>
      </c>
      <c r="I27" s="38" t="s">
        <v>241</v>
      </c>
      <c r="J27" s="32">
        <v>3</v>
      </c>
      <c r="K27" s="38" t="s">
        <v>242</v>
      </c>
      <c r="L27" s="32">
        <v>3</v>
      </c>
      <c r="M27" s="38" t="s">
        <v>243</v>
      </c>
      <c r="N27" s="32">
        <f t="shared" si="0"/>
        <v>9</v>
      </c>
      <c r="O27" s="32" t="str">
        <f t="shared" si="1"/>
        <v>MEDIUM</v>
      </c>
      <c r="P27" s="39" t="s">
        <v>30</v>
      </c>
      <c r="Q27" s="38" t="s">
        <v>244</v>
      </c>
      <c r="R27" s="32" t="s">
        <v>245</v>
      </c>
      <c r="S27" s="34">
        <v>40000</v>
      </c>
      <c r="T27" s="38" t="s">
        <v>246</v>
      </c>
      <c r="U27" s="39" t="s">
        <v>34</v>
      </c>
      <c r="V27" s="35">
        <v>1</v>
      </c>
      <c r="W27" s="32" t="s">
        <v>35</v>
      </c>
      <c r="X27" s="32">
        <v>1</v>
      </c>
      <c r="Y27" s="38" t="s">
        <v>247</v>
      </c>
      <c r="Z27" s="32">
        <v>1</v>
      </c>
      <c r="AA27" s="38" t="s">
        <v>248</v>
      </c>
      <c r="AB27" s="32">
        <f t="shared" si="2"/>
        <v>1</v>
      </c>
      <c r="AC27" s="32" t="str">
        <f t="shared" si="3"/>
        <v>LOW</v>
      </c>
      <c r="AD27" s="38" t="s">
        <v>249</v>
      </c>
    </row>
    <row r="28" spans="2:30" ht="36" customHeight="1" x14ac:dyDescent="0.25">
      <c r="B28" s="28">
        <v>17</v>
      </c>
      <c r="C28" s="18" t="s">
        <v>250</v>
      </c>
      <c r="D28" s="29" t="s">
        <v>251</v>
      </c>
      <c r="E28" s="18" t="s">
        <v>252</v>
      </c>
      <c r="F28" s="18" t="s">
        <v>253</v>
      </c>
      <c r="G28" s="28" t="s">
        <v>25</v>
      </c>
      <c r="H28" s="18" t="s">
        <v>254</v>
      </c>
      <c r="I28" s="18" t="s">
        <v>255</v>
      </c>
      <c r="J28" s="28">
        <v>3</v>
      </c>
      <c r="K28" s="18" t="s">
        <v>256</v>
      </c>
      <c r="L28" s="28">
        <v>4</v>
      </c>
      <c r="M28" s="18" t="s">
        <v>257</v>
      </c>
      <c r="N28" s="28">
        <f t="shared" si="0"/>
        <v>12</v>
      </c>
      <c r="O28" s="28" t="str">
        <f t="shared" si="1"/>
        <v>HIGH</v>
      </c>
      <c r="P28" s="37" t="s">
        <v>30</v>
      </c>
      <c r="Q28" s="18" t="s">
        <v>258</v>
      </c>
      <c r="R28" s="28" t="s">
        <v>259</v>
      </c>
      <c r="S28" s="30">
        <v>60000</v>
      </c>
      <c r="T28" s="18" t="s">
        <v>260</v>
      </c>
      <c r="U28" s="37" t="s">
        <v>50</v>
      </c>
      <c r="V28" s="31">
        <v>1</v>
      </c>
      <c r="W28" s="28" t="s">
        <v>35</v>
      </c>
      <c r="X28" s="28">
        <v>1</v>
      </c>
      <c r="Y28" s="18" t="s">
        <v>261</v>
      </c>
      <c r="Z28" s="28">
        <v>2</v>
      </c>
      <c r="AA28" s="18" t="s">
        <v>262</v>
      </c>
      <c r="AB28" s="28">
        <f t="shared" si="2"/>
        <v>2</v>
      </c>
      <c r="AC28" s="28" t="str">
        <f t="shared" si="3"/>
        <v>LOW</v>
      </c>
      <c r="AD28" s="18" t="s">
        <v>263</v>
      </c>
    </row>
    <row r="29" spans="2:30" ht="36" customHeight="1" x14ac:dyDescent="0.25">
      <c r="B29" s="32">
        <v>18</v>
      </c>
      <c r="C29" s="38" t="s">
        <v>264</v>
      </c>
      <c r="D29" s="33" t="s">
        <v>265</v>
      </c>
      <c r="E29" s="38" t="s">
        <v>266</v>
      </c>
      <c r="F29" s="38" t="s">
        <v>267</v>
      </c>
      <c r="G29" s="32" t="s">
        <v>25</v>
      </c>
      <c r="H29" s="38" t="s">
        <v>268</v>
      </c>
      <c r="I29" s="38" t="s">
        <v>269</v>
      </c>
      <c r="J29" s="32">
        <v>3</v>
      </c>
      <c r="K29" s="38" t="s">
        <v>270</v>
      </c>
      <c r="L29" s="32">
        <v>5</v>
      </c>
      <c r="M29" s="38" t="s">
        <v>271</v>
      </c>
      <c r="N29" s="32">
        <f t="shared" si="0"/>
        <v>15</v>
      </c>
      <c r="O29" s="32" t="str">
        <f t="shared" si="1"/>
        <v>HIGH</v>
      </c>
      <c r="P29" s="39" t="s">
        <v>30</v>
      </c>
      <c r="Q29" s="38" t="s">
        <v>272</v>
      </c>
      <c r="R29" s="32" t="s">
        <v>273</v>
      </c>
      <c r="S29" s="34">
        <v>210000</v>
      </c>
      <c r="T29" s="38" t="s">
        <v>274</v>
      </c>
      <c r="U29" s="39" t="s">
        <v>50</v>
      </c>
      <c r="V29" s="35">
        <v>1</v>
      </c>
      <c r="W29" s="32" t="s">
        <v>35</v>
      </c>
      <c r="X29" s="32">
        <v>1</v>
      </c>
      <c r="Y29" s="38" t="s">
        <v>275</v>
      </c>
      <c r="Z29" s="32">
        <v>2</v>
      </c>
      <c r="AA29" s="38" t="s">
        <v>276</v>
      </c>
      <c r="AB29" s="32">
        <f t="shared" si="2"/>
        <v>2</v>
      </c>
      <c r="AC29" s="32" t="str">
        <f t="shared" si="3"/>
        <v>LOW</v>
      </c>
      <c r="AD29" s="38" t="s">
        <v>277</v>
      </c>
    </row>
    <row r="30" spans="2:30" ht="36" customHeight="1" x14ac:dyDescent="0.25">
      <c r="B30" s="28">
        <v>19</v>
      </c>
      <c r="C30" s="18" t="s">
        <v>278</v>
      </c>
      <c r="D30" s="29" t="s">
        <v>279</v>
      </c>
      <c r="E30" s="18" t="s">
        <v>280</v>
      </c>
      <c r="F30" s="18" t="s">
        <v>281</v>
      </c>
      <c r="G30" s="28" t="s">
        <v>282</v>
      </c>
      <c r="H30" s="18" t="s">
        <v>283</v>
      </c>
      <c r="I30" s="18" t="s">
        <v>284</v>
      </c>
      <c r="J30" s="28">
        <v>3</v>
      </c>
      <c r="K30" s="18" t="s">
        <v>285</v>
      </c>
      <c r="L30" s="28">
        <v>4</v>
      </c>
      <c r="M30" s="18" t="s">
        <v>286</v>
      </c>
      <c r="N30" s="28">
        <f t="shared" si="0"/>
        <v>12</v>
      </c>
      <c r="O30" s="28" t="str">
        <f t="shared" si="1"/>
        <v>HIGH</v>
      </c>
      <c r="P30" s="37" t="s">
        <v>30</v>
      </c>
      <c r="Q30" s="18" t="s">
        <v>287</v>
      </c>
      <c r="R30" s="28" t="s">
        <v>288</v>
      </c>
      <c r="S30" s="30">
        <v>95000</v>
      </c>
      <c r="T30" s="18" t="s">
        <v>289</v>
      </c>
      <c r="U30" s="37" t="s">
        <v>50</v>
      </c>
      <c r="V30" s="31">
        <v>1</v>
      </c>
      <c r="W30" s="28" t="s">
        <v>35</v>
      </c>
      <c r="X30" s="28">
        <v>1</v>
      </c>
      <c r="Y30" s="18" t="s">
        <v>290</v>
      </c>
      <c r="Z30" s="28">
        <v>2</v>
      </c>
      <c r="AA30" s="18" t="s">
        <v>291</v>
      </c>
      <c r="AB30" s="28">
        <f t="shared" si="2"/>
        <v>2</v>
      </c>
      <c r="AC30" s="28" t="str">
        <f t="shared" si="3"/>
        <v>LOW</v>
      </c>
      <c r="AD30" s="18" t="s">
        <v>292</v>
      </c>
    </row>
    <row r="31" spans="2:30" ht="36" customHeight="1" x14ac:dyDescent="0.25">
      <c r="B31" s="32">
        <v>20</v>
      </c>
      <c r="C31" s="38" t="s">
        <v>293</v>
      </c>
      <c r="D31" s="33" t="s">
        <v>294</v>
      </c>
      <c r="E31" s="38" t="s">
        <v>295</v>
      </c>
      <c r="F31" s="38" t="s">
        <v>296</v>
      </c>
      <c r="G31" s="32" t="s">
        <v>25</v>
      </c>
      <c r="H31" s="38" t="s">
        <v>297</v>
      </c>
      <c r="I31" s="38" t="s">
        <v>298</v>
      </c>
      <c r="J31" s="32">
        <v>3</v>
      </c>
      <c r="K31" s="38" t="s">
        <v>299</v>
      </c>
      <c r="L31" s="32">
        <v>4</v>
      </c>
      <c r="M31" s="38" t="s">
        <v>300</v>
      </c>
      <c r="N31" s="32">
        <f t="shared" si="0"/>
        <v>12</v>
      </c>
      <c r="O31" s="32" t="str">
        <f t="shared" si="1"/>
        <v>HIGH</v>
      </c>
      <c r="P31" s="39" t="s">
        <v>30</v>
      </c>
      <c r="Q31" s="38" t="s">
        <v>301</v>
      </c>
      <c r="R31" s="32" t="s">
        <v>302</v>
      </c>
      <c r="S31" s="34">
        <v>195000</v>
      </c>
      <c r="T31" s="38" t="s">
        <v>303</v>
      </c>
      <c r="U31" s="39" t="s">
        <v>34</v>
      </c>
      <c r="V31" s="35">
        <v>1</v>
      </c>
      <c r="W31" s="32" t="s">
        <v>35</v>
      </c>
      <c r="X31" s="32">
        <v>1</v>
      </c>
      <c r="Y31" s="38" t="s">
        <v>304</v>
      </c>
      <c r="Z31" s="32">
        <v>2</v>
      </c>
      <c r="AA31" s="38" t="s">
        <v>305</v>
      </c>
      <c r="AB31" s="32">
        <f t="shared" si="2"/>
        <v>2</v>
      </c>
      <c r="AC31" s="32" t="str">
        <f t="shared" si="3"/>
        <v>LOW</v>
      </c>
      <c r="AD31" s="38" t="s">
        <v>306</v>
      </c>
    </row>
    <row r="32" spans="2:30" ht="24" customHeight="1" x14ac:dyDescent="0.25">
      <c r="B32" s="47" t="s">
        <v>307</v>
      </c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36">
        <f>SUM(S12:S31)</f>
        <v>2320000</v>
      </c>
      <c r="T32" s="49" t="s">
        <v>308</v>
      </c>
      <c r="U32" s="48"/>
      <c r="V32" s="48"/>
      <c r="W32" s="48"/>
      <c r="X32" s="48"/>
      <c r="Y32" s="48"/>
      <c r="Z32" s="48"/>
      <c r="AA32" s="48"/>
      <c r="AB32" s="48"/>
      <c r="AC32" s="48"/>
      <c r="AD32" s="48"/>
    </row>
  </sheetData>
  <mergeCells count="9">
    <mergeCell ref="B9:I9"/>
    <mergeCell ref="B32:R32"/>
    <mergeCell ref="T32:AD32"/>
    <mergeCell ref="P9:W9"/>
    <mergeCell ref="J9:O9"/>
    <mergeCell ref="P3:R3"/>
    <mergeCell ref="P4:R4"/>
    <mergeCell ref="P7:R7"/>
    <mergeCell ref="X9:AC9"/>
  </mergeCells>
  <conditionalFormatting sqref="O12:O31">
    <cfRule type="cellIs" dxfId="5" priority="1" stopIfTrue="1" operator="equal">
      <formula>"HIGH"</formula>
    </cfRule>
    <cfRule type="cellIs" dxfId="4" priority="2" stopIfTrue="1" operator="equal">
      <formula>"MEDIUM"</formula>
    </cfRule>
    <cfRule type="cellIs" dxfId="3" priority="3" stopIfTrue="1" operator="equal">
      <formula>"LOW"</formula>
    </cfRule>
  </conditionalFormatting>
  <conditionalFormatting sqref="AC12:AC31">
    <cfRule type="cellIs" dxfId="2" priority="4" stopIfTrue="1" operator="equal">
      <formula>"HIGH"</formula>
    </cfRule>
    <cfRule type="cellIs" dxfId="1" priority="4" stopIfTrue="1" operator="equal">
      <formula>"MEDIUM"</formula>
    </cfRule>
    <cfRule type="cellIs" dxfId="0" priority="4" stopIfTrue="1" operator="equal">
      <formula>"LOW"</formula>
    </cfRule>
  </conditionalFormatting>
  <dataValidations count="4">
    <dataValidation type="list" allowBlank="1" sqref="J12:J31 L12:L31 X12:X31 Z12:Z31" xr:uid="{00000000-0002-0000-0200-000000000000}">
      <formula1>"1,2,3,4,5"</formula1>
    </dataValidation>
    <dataValidation type="list" allowBlank="1" sqref="G12:G31" xr:uid="{00000000-0002-0000-0200-000001000000}">
      <formula1>"C,I,A,CI,CA,IA,CIA"</formula1>
    </dataValidation>
    <dataValidation type="list" allowBlank="1" sqref="P12:P31" xr:uid="{00000000-0002-0000-0200-000002000000}">
      <formula1>"Accept,Avoid,Modify,Share"</formula1>
    </dataValidation>
    <dataValidation type="list" allowBlank="1" sqref="W12:W31" xr:uid="{00000000-0002-0000-0200-000003000000}">
      <formula1>"Not Started,In Progress,Completed,Rejected"</formula1>
    </dataValidation>
  </dataValidation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17"/>
  <sheetViews>
    <sheetView rightToLeft="1" workbookViewId="0">
      <selection activeCell="B29" sqref="B29"/>
    </sheetView>
  </sheetViews>
  <sheetFormatPr defaultRowHeight="14.25" x14ac:dyDescent="0.2"/>
  <cols>
    <col min="1" max="1" width="4" customWidth="1"/>
    <col min="2" max="2" width="24" customWidth="1"/>
    <col min="3" max="3" width="18" customWidth="1"/>
    <col min="4" max="4" width="14" customWidth="1"/>
    <col min="5" max="5" width="24" customWidth="1"/>
    <col min="6" max="6" width="14" customWidth="1"/>
  </cols>
  <sheetData>
    <row r="1" spans="2:6" ht="18" x14ac:dyDescent="0.25">
      <c r="B1" s="2" t="s">
        <v>309</v>
      </c>
    </row>
    <row r="3" spans="2:6" ht="15" x14ac:dyDescent="0.25">
      <c r="B3" s="1" t="s">
        <v>310</v>
      </c>
    </row>
    <row r="4" spans="2:6" ht="24" customHeight="1" x14ac:dyDescent="0.2">
      <c r="B4" s="3" t="s">
        <v>12</v>
      </c>
      <c r="C4" s="3" t="s">
        <v>311</v>
      </c>
      <c r="D4" s="3" t="s">
        <v>312</v>
      </c>
      <c r="E4" s="3" t="s">
        <v>313</v>
      </c>
      <c r="F4" s="3" t="s">
        <v>314</v>
      </c>
    </row>
    <row r="5" spans="2:6" ht="21.95" customHeight="1" x14ac:dyDescent="0.2">
      <c r="B5" s="4" t="s">
        <v>315</v>
      </c>
      <c r="C5" s="5">
        <f>COUNTIF('Risk Assessment'!$O$12:$O$31, "HIGH")</f>
        <v>19</v>
      </c>
      <c r="D5" s="6">
        <f>C5/$C$8</f>
        <v>0.95</v>
      </c>
      <c r="E5" s="5">
        <f>COUNTIF('Risk Assessment'!$AC$12:$AC$31, "HIGH")</f>
        <v>0</v>
      </c>
      <c r="F5" s="6">
        <f>E5/$E$8</f>
        <v>0</v>
      </c>
    </row>
    <row r="6" spans="2:6" ht="21.95" customHeight="1" x14ac:dyDescent="0.2">
      <c r="B6" s="7" t="s">
        <v>316</v>
      </c>
      <c r="C6" s="5">
        <f>COUNTIF('Risk Assessment'!$O$12:$O$31, "MEDIUM")</f>
        <v>1</v>
      </c>
      <c r="D6" s="6">
        <f>C6/$C$8</f>
        <v>0.05</v>
      </c>
      <c r="E6" s="5">
        <f>COUNTIF('Risk Assessment'!$AC$12:$AC$31, "MEDIUM")</f>
        <v>0</v>
      </c>
      <c r="F6" s="6">
        <f>E6/$E$8</f>
        <v>0</v>
      </c>
    </row>
    <row r="7" spans="2:6" ht="21.95" customHeight="1" x14ac:dyDescent="0.2">
      <c r="B7" s="8" t="s">
        <v>317</v>
      </c>
      <c r="C7" s="5">
        <f>COUNTIF('Risk Assessment'!$O$12:$O$31, "LOW")</f>
        <v>0</v>
      </c>
      <c r="D7" s="6">
        <f>C7/$C$8</f>
        <v>0</v>
      </c>
      <c r="E7" s="5">
        <f>COUNTIF('Risk Assessment'!$AC$12:$AC$31, "LOW")</f>
        <v>20</v>
      </c>
      <c r="F7" s="6">
        <f>E7/$E$8</f>
        <v>1</v>
      </c>
    </row>
    <row r="8" spans="2:6" ht="24" customHeight="1" x14ac:dyDescent="0.2">
      <c r="B8" s="9" t="s">
        <v>318</v>
      </c>
      <c r="C8" s="10">
        <f>SUM(C5:C7)</f>
        <v>20</v>
      </c>
      <c r="D8" s="11">
        <f>SUM(D5:D7)</f>
        <v>1</v>
      </c>
      <c r="E8" s="10">
        <f>SUM(E5:E7)</f>
        <v>20</v>
      </c>
      <c r="F8" s="11">
        <f>SUM(F5:F7)</f>
        <v>1</v>
      </c>
    </row>
    <row r="11" spans="2:6" ht="15" x14ac:dyDescent="0.25">
      <c r="B11" s="1" t="s">
        <v>319</v>
      </c>
    </row>
    <row r="12" spans="2:6" ht="24" customHeight="1" x14ac:dyDescent="0.2">
      <c r="B12" s="3" t="s">
        <v>320</v>
      </c>
      <c r="C12" s="3" t="s">
        <v>321</v>
      </c>
      <c r="D12" s="3" t="s">
        <v>322</v>
      </c>
      <c r="E12" s="3" t="s">
        <v>323</v>
      </c>
    </row>
    <row r="13" spans="2:6" ht="21.95" customHeight="1" x14ac:dyDescent="0.2">
      <c r="B13" s="12" t="s">
        <v>324</v>
      </c>
      <c r="C13" s="5">
        <f>COUNTIF('Risk Assessment'!$P$12:$P$31, "Modify")</f>
        <v>19</v>
      </c>
      <c r="D13" s="6">
        <f>C13/$C$17</f>
        <v>0.95</v>
      </c>
      <c r="E13" s="13">
        <f>SUMIF('Risk Assessment'!$P$12:$P$31, "Modify", 'Risk Assessment'!$S$12:$S$31)</f>
        <v>2275000</v>
      </c>
    </row>
    <row r="14" spans="2:6" ht="21.95" customHeight="1" x14ac:dyDescent="0.2">
      <c r="B14" s="12" t="s">
        <v>325</v>
      </c>
      <c r="C14" s="5">
        <f>COUNTIF('Risk Assessment'!$P$12:$P$31, "Accept")</f>
        <v>0</v>
      </c>
      <c r="D14" s="6">
        <f>C14/$C$17</f>
        <v>0</v>
      </c>
      <c r="E14" s="13">
        <v>0</v>
      </c>
    </row>
    <row r="15" spans="2:6" ht="21.95" customHeight="1" x14ac:dyDescent="0.2">
      <c r="B15" s="12" t="s">
        <v>326</v>
      </c>
      <c r="C15" s="5">
        <f>COUNTIF('Risk Assessment'!$P$12:$P$31, "Avoid")</f>
        <v>1</v>
      </c>
      <c r="D15" s="6">
        <f>C15/$C$17</f>
        <v>0.05</v>
      </c>
      <c r="E15" s="13">
        <f>SUMIF('Risk Assessment'!$P$12:$P$31, "Avoid", 'Risk Assessment'!$S$12:$S$31)</f>
        <v>45000</v>
      </c>
    </row>
    <row r="16" spans="2:6" ht="21.95" customHeight="1" x14ac:dyDescent="0.2">
      <c r="B16" s="12" t="s">
        <v>327</v>
      </c>
      <c r="C16" s="5">
        <f>COUNTIF('Risk Assessment'!$P$12:$P$31, "Share")</f>
        <v>0</v>
      </c>
      <c r="D16" s="6">
        <f>C16/$C$17</f>
        <v>0</v>
      </c>
      <c r="E16" s="13">
        <v>0</v>
      </c>
    </row>
    <row r="17" spans="2:5" ht="24" customHeight="1" x14ac:dyDescent="0.2">
      <c r="B17" s="9" t="s">
        <v>328</v>
      </c>
      <c r="C17" s="10">
        <f>SUM(C13:C16)</f>
        <v>20</v>
      </c>
      <c r="D17" s="11">
        <f>SUM(D13:D16)</f>
        <v>1</v>
      </c>
      <c r="E17" s="14">
        <f>SUM(E13:E16)</f>
        <v>2320000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D9"/>
  <sheetViews>
    <sheetView rightToLeft="1" workbookViewId="0">
      <selection activeCell="D21" sqref="D21"/>
    </sheetView>
  </sheetViews>
  <sheetFormatPr defaultRowHeight="15.75" x14ac:dyDescent="0.25"/>
  <cols>
    <col min="1" max="1" width="4" style="16" customWidth="1"/>
    <col min="2" max="2" width="10" style="16" customWidth="1"/>
    <col min="3" max="3" width="28" style="16" customWidth="1"/>
    <col min="4" max="4" width="65" style="16" customWidth="1"/>
    <col min="5" max="16384" width="9" style="16"/>
  </cols>
  <sheetData>
    <row r="3" spans="2:4" x14ac:dyDescent="0.25">
      <c r="B3" s="15" t="s">
        <v>329</v>
      </c>
    </row>
    <row r="4" spans="2:4" x14ac:dyDescent="0.25">
      <c r="B4" s="19" t="s">
        <v>330</v>
      </c>
      <c r="C4" s="19" t="s">
        <v>331</v>
      </c>
      <c r="D4" s="19" t="s">
        <v>332</v>
      </c>
    </row>
    <row r="5" spans="2:4" ht="21.95" customHeight="1" x14ac:dyDescent="0.25">
      <c r="B5" s="20">
        <v>1</v>
      </c>
      <c r="C5" s="21" t="s">
        <v>333</v>
      </c>
      <c r="D5" s="21" t="s">
        <v>334</v>
      </c>
    </row>
    <row r="6" spans="2:4" ht="21.95" customHeight="1" x14ac:dyDescent="0.25">
      <c r="B6" s="20">
        <v>2</v>
      </c>
      <c r="C6" s="21" t="s">
        <v>335</v>
      </c>
      <c r="D6" s="21" t="s">
        <v>336</v>
      </c>
    </row>
    <row r="7" spans="2:4" ht="21.95" customHeight="1" x14ac:dyDescent="0.25">
      <c r="B7" s="20">
        <v>3</v>
      </c>
      <c r="C7" s="21" t="s">
        <v>337</v>
      </c>
      <c r="D7" s="21" t="s">
        <v>338</v>
      </c>
    </row>
    <row r="8" spans="2:4" ht="21.95" customHeight="1" x14ac:dyDescent="0.25">
      <c r="B8" s="20">
        <v>4</v>
      </c>
      <c r="C8" s="21" t="s">
        <v>339</v>
      </c>
      <c r="D8" s="21" t="s">
        <v>340</v>
      </c>
    </row>
    <row r="9" spans="2:4" ht="21.95" customHeight="1" x14ac:dyDescent="0.25">
      <c r="B9" s="20">
        <v>5</v>
      </c>
      <c r="C9" s="21" t="s">
        <v>341</v>
      </c>
      <c r="D9" s="21" t="s">
        <v>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E9"/>
  <sheetViews>
    <sheetView rightToLeft="1" tabSelected="1" workbookViewId="0">
      <selection activeCell="E23" sqref="E23"/>
    </sheetView>
  </sheetViews>
  <sheetFormatPr defaultRowHeight="15.75" x14ac:dyDescent="0.25"/>
  <cols>
    <col min="1" max="1" width="4" style="16" customWidth="1"/>
    <col min="2" max="2" width="10" style="16" customWidth="1"/>
    <col min="3" max="4" width="24" style="16" customWidth="1"/>
    <col min="5" max="5" width="50" style="16" customWidth="1"/>
    <col min="6" max="16384" width="9" style="16"/>
  </cols>
  <sheetData>
    <row r="3" spans="2:5" x14ac:dyDescent="0.25">
      <c r="B3" s="15" t="s">
        <v>343</v>
      </c>
    </row>
    <row r="4" spans="2:5" x14ac:dyDescent="0.25">
      <c r="B4" s="19" t="s">
        <v>330</v>
      </c>
      <c r="C4" s="19" t="s">
        <v>344</v>
      </c>
      <c r="D4" s="19" t="s">
        <v>345</v>
      </c>
      <c r="E4" s="19" t="s">
        <v>346</v>
      </c>
    </row>
    <row r="5" spans="2:5" ht="21.95" customHeight="1" x14ac:dyDescent="0.25">
      <c r="B5" s="20">
        <v>1</v>
      </c>
      <c r="C5" s="21" t="s">
        <v>347</v>
      </c>
      <c r="D5" s="20" t="s">
        <v>348</v>
      </c>
      <c r="E5" s="21" t="s">
        <v>349</v>
      </c>
    </row>
    <row r="6" spans="2:5" ht="21.95" customHeight="1" x14ac:dyDescent="0.25">
      <c r="B6" s="20">
        <v>2</v>
      </c>
      <c r="C6" s="21" t="s">
        <v>350</v>
      </c>
      <c r="D6" s="20" t="s">
        <v>351</v>
      </c>
      <c r="E6" s="21" t="s">
        <v>352</v>
      </c>
    </row>
    <row r="7" spans="2:5" ht="21.95" customHeight="1" x14ac:dyDescent="0.25">
      <c r="B7" s="20">
        <v>3</v>
      </c>
      <c r="C7" s="21" t="s">
        <v>353</v>
      </c>
      <c r="D7" s="20" t="s">
        <v>354</v>
      </c>
      <c r="E7" s="21" t="s">
        <v>355</v>
      </c>
    </row>
    <row r="8" spans="2:5" ht="21.95" customHeight="1" x14ac:dyDescent="0.25">
      <c r="B8" s="20">
        <v>4</v>
      </c>
      <c r="C8" s="21" t="s">
        <v>356</v>
      </c>
      <c r="D8" s="20" t="s">
        <v>357</v>
      </c>
      <c r="E8" s="21" t="s">
        <v>358</v>
      </c>
    </row>
    <row r="9" spans="2:5" ht="21.95" customHeight="1" x14ac:dyDescent="0.25">
      <c r="B9" s="20">
        <v>5</v>
      </c>
      <c r="C9" s="21" t="s">
        <v>359</v>
      </c>
      <c r="D9" s="20" t="s">
        <v>360</v>
      </c>
      <c r="E9" s="21" t="s">
        <v>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Assessment Details</vt:lpstr>
      <vt:lpstr>Risk Assessment</vt:lpstr>
      <vt:lpstr>Dashboard</vt:lpstr>
      <vt:lpstr>Likelihood</vt:lpstr>
      <vt:lpstr>Impact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AL-Ameri</cp:lastModifiedBy>
  <dcterms:created xsi:type="dcterms:W3CDTF">2026-09-12T22:32:06Z</dcterms:created>
  <dcterms:modified xsi:type="dcterms:W3CDTF">2026-09-13T17:23:21Z</dcterms:modified>
</cp:coreProperties>
</file>